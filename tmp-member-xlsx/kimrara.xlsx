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8_{D15BE8D7-AEC8-4646-966F-1BD90178BE89}" xr6:coauthVersionLast="47" xr6:coauthVersionMax="47" xr10:uidLastSave="{00000000-0000-0000-0000-000000000000}"/>
  <bookViews>
    <workbookView xWindow="60000" yWindow="285" windowWidth="16830" windowHeight="20130" xr2:uid="{84074645-2597-4273-9E78-D1A981F9ED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8" i="1" l="1"/>
  <c r="B67" i="1"/>
  <c r="C65" i="1"/>
  <c r="C61" i="1"/>
  <c r="D67" i="1" l="1"/>
  <c r="H67" i="1" s="1"/>
  <c r="D68" i="1"/>
  <c r="H68" i="1" s="1"/>
  <c r="F68" i="1"/>
  <c r="B70" i="1" l="1"/>
  <c r="D71" i="1" l="1"/>
  <c r="D72" i="1" l="1"/>
  <c r="D70" i="1" s="1"/>
  <c r="F70" i="1" s="1"/>
</calcChain>
</file>

<file path=xl/sharedStrings.xml><?xml version="1.0" encoding="utf-8"?>
<sst xmlns="http://schemas.openxmlformats.org/spreadsheetml/2006/main" count="141" uniqueCount="94">
  <si>
    <t>Time</t>
  </si>
  <si>
    <t xml:space="preserve"> Name</t>
  </si>
  <si>
    <t xml:space="preserve"> Amount</t>
  </si>
  <si>
    <t xml:space="preserve"> Message</t>
  </si>
  <si>
    <t>라라❤️앤디횽</t>
  </si>
  <si>
    <t>라라</t>
  </si>
  <si>
    <t>라라❤️곱째횽</t>
  </si>
  <si>
    <t>나머행</t>
  </si>
  <si>
    <t>루니솔라 - 라라님도 같은팀 고생하셨습니당~</t>
  </si>
  <si>
    <t>라라❤️진용횽</t>
  </si>
  <si>
    <t xml:space="preserve">라라 </t>
  </si>
  <si>
    <t>라라❤️이온횽</t>
  </si>
  <si>
    <t>Atmosphere - 라라고생했어 자키님 양이형 불러주셔서 감사해요</t>
  </si>
  <si>
    <t>이온</t>
  </si>
  <si>
    <t>Dark Side - ym라라 부장 의리로 나와줘 고맙고 응원해</t>
  </si>
  <si>
    <t>자키집고양이</t>
  </si>
  <si>
    <t>레오</t>
  </si>
  <si>
    <t>홀리몰리 - 라라누나</t>
  </si>
  <si>
    <t>레스고</t>
  </si>
  <si>
    <t>Atmosphere - Ym라라</t>
  </si>
  <si>
    <t>크리스</t>
  </si>
  <si>
    <t>라라 그럼 딱 2개만더?ㅎㅎ</t>
  </si>
  <si>
    <t>먹지마x10 - 라라만 쉴드가없냐</t>
  </si>
  <si>
    <t>활어 - 재밌어보인다 라라</t>
  </si>
  <si>
    <t>라라 와사비</t>
  </si>
  <si>
    <t>New제로투 - 라라님 땅있어요 한번 더</t>
  </si>
  <si>
    <t>New제로투 - 라라님 한번 더</t>
  </si>
  <si>
    <t>New제로투 - 라라님도 지원사격</t>
  </si>
  <si>
    <t>자키집쓰볼탱69</t>
  </si>
  <si>
    <t>New제로투 - 라라야 욕로투 하나 갈기자 하린이한테</t>
  </si>
  <si>
    <t>킹 받았으면 좋겠어 - 라라</t>
  </si>
  <si>
    <t>Atmosphere - 라라야 전세로 갈아탈까?</t>
  </si>
  <si>
    <t>반포대교 - 라라야 월세내라</t>
  </si>
  <si>
    <t>Dark Side - 라라야 월세내라</t>
  </si>
  <si>
    <t>호텔파티 - 라라야 월세내라</t>
  </si>
  <si>
    <t>루니솔라 - 라라야 월세내라</t>
  </si>
  <si>
    <t>럼블 - 라라야 월세내라</t>
  </si>
  <si>
    <t>캐치캐치 - 라라야 월세내라</t>
  </si>
  <si>
    <t>홀리몰리 - 라라야 월세내라</t>
  </si>
  <si>
    <t>먹어 - 라라야 가발 줏어쓰자</t>
  </si>
  <si>
    <t xml:space="preserve">먹지마x5 - 라라야 외쳐라 존잘그자업 </t>
  </si>
  <si>
    <t>서그자</t>
  </si>
  <si>
    <t>라라홍어먹어×3</t>
  </si>
  <si>
    <t>먹지마x5 - 라라 홍어는지켜</t>
  </si>
  <si>
    <t>Andy</t>
  </si>
  <si>
    <t>사마귀 - ym자랑 라부장 사마귀도보여주자</t>
  </si>
  <si>
    <t>럼블 - 라라</t>
  </si>
  <si>
    <t>사마귀 - 사마귀라라</t>
  </si>
  <si>
    <t>자키집안나</t>
  </si>
  <si>
    <t>먹어 - 라라님 머리묶고 가발써주세요 헤헷</t>
  </si>
  <si>
    <t xml:space="preserve"> 자키집서그자</t>
  </si>
  <si>
    <t>김라라 홍어먹어×4</t>
  </si>
  <si>
    <t>둘기</t>
  </si>
  <si>
    <t>홀리몰리 - 순복이꺼 (라라)</t>
  </si>
  <si>
    <t>홀리몰리 - 순복이꺼</t>
  </si>
  <si>
    <t>개구라라</t>
  </si>
  <si>
    <t>홀리몰리 - 라라온니 내 치즈말랑이 어떤데!ㅎㅎ</t>
  </si>
  <si>
    <t>반딧불</t>
  </si>
  <si>
    <t>솜사탕 - 라라야.</t>
  </si>
  <si>
    <t>딱기둘</t>
  </si>
  <si>
    <t>먹어 - 라라 와사비</t>
  </si>
  <si>
    <t>역도 라부부 - 나나 라라 자자 화이팅</t>
  </si>
  <si>
    <t>역도 라부부 - 나나 라라 자자 한번더</t>
  </si>
  <si>
    <t>Dark Side - 라라님도 화이팅 이온님업~</t>
  </si>
  <si>
    <t>캐치캐치 - 라라 화이팅</t>
  </si>
  <si>
    <t>Dark Side - 라라 화이팅</t>
  </si>
  <si>
    <t>솜사탕 - 라라온니 즐기자 이거야</t>
  </si>
  <si>
    <t>솜사탕 - 라라 업</t>
  </si>
  <si>
    <t>자키집딱기둘</t>
  </si>
  <si>
    <t>홀리몰리 - 라라 재밌게 놀고와</t>
  </si>
  <si>
    <t>캐치캐치 - 라라 재밌게 놀고와</t>
  </si>
  <si>
    <t>럼블 - 라라 재밌게 놀고와</t>
  </si>
  <si>
    <t>루니솔라 - 라라 재밌게 놀고와</t>
  </si>
  <si>
    <t>호텔파티 - 라라 재밌게 놀고와</t>
  </si>
  <si>
    <t>Everytime We Touch - 라라 재밌게 놀고와</t>
  </si>
  <si>
    <t>그래비티 - 라라화이팅 즐기고와~</t>
  </si>
  <si>
    <t>시그단가 적당히바꿔라 박자키 ㅋㅋ라라업</t>
  </si>
  <si>
    <t>투네이션 합계</t>
    <phoneticPr fontId="2" type="noConversion"/>
  </si>
  <si>
    <t>김순복 머리빼</t>
  </si>
  <si>
    <t>2026.09.23 20:01:21</t>
  </si>
  <si>
    <t>거래일시</t>
  </si>
  <si>
    <t>적요내용</t>
  </si>
  <si>
    <t>입금금액</t>
  </si>
  <si>
    <t>계좌합계</t>
    <phoneticPr fontId="2" type="noConversion"/>
  </si>
  <si>
    <t>계좌 후원 금액</t>
    <phoneticPr fontId="2" type="noConversion"/>
  </si>
  <si>
    <t>부가세</t>
    <phoneticPr fontId="2" type="noConversion"/>
  </si>
  <si>
    <t>정산금 80%</t>
    <phoneticPr fontId="2" type="noConversion"/>
  </si>
  <si>
    <t>투네이션 후원 금액</t>
    <phoneticPr fontId="2" type="noConversion"/>
  </si>
  <si>
    <t>수수료</t>
    <phoneticPr fontId="2" type="noConversion"/>
  </si>
  <si>
    <t>정산금 총 합계</t>
    <phoneticPr fontId="2" type="noConversion"/>
  </si>
  <si>
    <t>원천세</t>
    <phoneticPr fontId="2" type="noConversion"/>
  </si>
  <si>
    <t>실지급액</t>
    <phoneticPr fontId="2" type="noConversion"/>
  </si>
  <si>
    <t>소득세</t>
    <phoneticPr fontId="2" type="noConversion"/>
  </si>
  <si>
    <t>지방소득세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</si>
</sst>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22" fontId="0" fillId="0" borderId="0" xfId="0" applyNumberFormat="1" applyAlignment="1">
      <alignment horizontal="center"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3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>
      <alignment vertical="center"/>
    </xf>
    <xf numFmtId="41" fontId="6" fillId="4" borderId="13" xfId="1" applyFont="1" applyFill="1" applyBorder="1" applyAlignment="1">
      <alignment horizontal="center" vertical="center"/>
    </xf>
    <xf numFmtId="41" fontId="6" fillId="4" borderId="2" xfId="1" applyFont="1" applyFill="1" applyBorder="1" applyAlignment="1">
      <alignment horizontal="center" vertical="center"/>
    </xf>
    <xf numFmtId="41" fontId="6" fillId="4" borderId="2" xfId="1" applyFont="1" applyFill="1" applyBorder="1">
      <alignment vertical="center"/>
    </xf>
    <xf numFmtId="41" fontId="7" fillId="4" borderId="13" xfId="1" applyFont="1" applyFill="1" applyBorder="1" applyAlignment="1">
      <alignment horizontal="center" vertical="center"/>
    </xf>
    <xf numFmtId="41" fontId="7" fillId="4" borderId="2" xfId="1" applyFont="1" applyFill="1" applyBorder="1">
      <alignment vertical="center"/>
    </xf>
    <xf numFmtId="41" fontId="6" fillId="4" borderId="0" xfId="1" applyFont="1" applyFill="1">
      <alignment vertical="center"/>
    </xf>
    <xf numFmtId="0" fontId="6" fillId="0" borderId="0" xfId="0" applyFont="1">
      <alignment vertical="center"/>
    </xf>
    <xf numFmtId="41" fontId="8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DB11-12C2-438E-8D2B-17FD3545CC1C}">
  <dimension ref="A1:I73"/>
  <sheetViews>
    <sheetView tabSelected="1" topLeftCell="A39" workbookViewId="0">
      <selection activeCell="G78" sqref="G78"/>
    </sheetView>
  </sheetViews>
  <sheetFormatPr defaultRowHeight="16.5" x14ac:dyDescent="0.3"/>
  <cols>
    <col min="1" max="1" width="16.625" style="2" bestFit="1" customWidth="1"/>
    <col min="2" max="2" width="15.25" bestFit="1" customWidth="1"/>
    <col min="3" max="3" width="10.875" bestFit="1" customWidth="1"/>
    <col min="4" max="9" width="13" customWidth="1"/>
  </cols>
  <sheetData>
    <row r="1" spans="1:4" s="2" customFormat="1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6">
        <v>46289.006967592592</v>
      </c>
      <c r="B2" s="4" t="s">
        <v>4</v>
      </c>
      <c r="C2" s="1">
        <v>1000000</v>
      </c>
      <c r="D2" s="4" t="s">
        <v>5</v>
      </c>
    </row>
    <row r="3" spans="1:4" x14ac:dyDescent="0.3">
      <c r="A3" s="6">
        <v>46289.006076388891</v>
      </c>
      <c r="B3" s="4" t="s">
        <v>6</v>
      </c>
      <c r="C3" s="1">
        <v>1000000</v>
      </c>
      <c r="D3" s="4" t="s">
        <v>5</v>
      </c>
    </row>
    <row r="4" spans="1:4" x14ac:dyDescent="0.3">
      <c r="A4" s="6">
        <v>46289.004305555558</v>
      </c>
      <c r="B4" t="s">
        <v>7</v>
      </c>
      <c r="C4" s="1">
        <v>60000</v>
      </c>
      <c r="D4" s="4" t="s">
        <v>8</v>
      </c>
    </row>
    <row r="5" spans="1:4" x14ac:dyDescent="0.3">
      <c r="A5" s="6">
        <v>46289.003900462965</v>
      </c>
      <c r="B5" s="4" t="s">
        <v>9</v>
      </c>
      <c r="C5" s="1">
        <v>1000000</v>
      </c>
      <c r="D5" s="4" t="s">
        <v>10</v>
      </c>
    </row>
    <row r="6" spans="1:4" x14ac:dyDescent="0.3">
      <c r="A6" s="6">
        <v>46289.002442129633</v>
      </c>
      <c r="B6" s="4" t="s">
        <v>11</v>
      </c>
      <c r="C6" s="1">
        <v>1000000</v>
      </c>
      <c r="D6" s="4" t="s">
        <v>5</v>
      </c>
    </row>
    <row r="7" spans="1:4" x14ac:dyDescent="0.3">
      <c r="A7" s="6">
        <v>46288.999884259261</v>
      </c>
      <c r="B7" t="s">
        <v>13</v>
      </c>
      <c r="C7" s="1">
        <v>1000000</v>
      </c>
      <c r="D7" s="4" t="s">
        <v>12</v>
      </c>
    </row>
    <row r="8" spans="1:4" x14ac:dyDescent="0.3">
      <c r="A8" s="6">
        <v>46288.99554398148</v>
      </c>
      <c r="B8" s="5" t="s">
        <v>15</v>
      </c>
      <c r="C8" s="1">
        <v>100000</v>
      </c>
      <c r="D8" s="4" t="s">
        <v>14</v>
      </c>
    </row>
    <row r="9" spans="1:4" x14ac:dyDescent="0.3">
      <c r="A9" s="6">
        <v>46288.989803240744</v>
      </c>
      <c r="B9" t="s">
        <v>16</v>
      </c>
      <c r="C9" s="1">
        <v>10000</v>
      </c>
      <c r="D9" s="4" t="s">
        <v>17</v>
      </c>
    </row>
    <row r="10" spans="1:4" x14ac:dyDescent="0.3">
      <c r="A10" s="6">
        <v>46288.965937499997</v>
      </c>
      <c r="B10" t="s">
        <v>18</v>
      </c>
      <c r="C10" s="1">
        <v>1000000</v>
      </c>
      <c r="D10" s="4" t="s">
        <v>19</v>
      </c>
    </row>
    <row r="11" spans="1:4" x14ac:dyDescent="0.3">
      <c r="A11" s="6">
        <v>46288.934560185182</v>
      </c>
      <c r="B11" t="s">
        <v>20</v>
      </c>
      <c r="C11" s="1">
        <v>28200</v>
      </c>
      <c r="D11" s="4" t="s">
        <v>21</v>
      </c>
    </row>
    <row r="12" spans="1:4" x14ac:dyDescent="0.3">
      <c r="A12" s="6">
        <v>46288.934386574074</v>
      </c>
      <c r="B12" t="s">
        <v>13</v>
      </c>
      <c r="C12" s="1">
        <v>151000</v>
      </c>
      <c r="D12" s="4" t="s">
        <v>22</v>
      </c>
    </row>
    <row r="13" spans="1:4" x14ac:dyDescent="0.3">
      <c r="A13" s="6">
        <v>46288.93241898148</v>
      </c>
      <c r="B13" t="s">
        <v>13</v>
      </c>
      <c r="C13" s="1">
        <v>18000</v>
      </c>
      <c r="D13" s="4" t="s">
        <v>23</v>
      </c>
    </row>
    <row r="14" spans="1:4" x14ac:dyDescent="0.3">
      <c r="A14" s="6">
        <v>46288.932060185187</v>
      </c>
      <c r="B14" t="s">
        <v>13</v>
      </c>
      <c r="C14" s="1">
        <v>18000</v>
      </c>
      <c r="D14" s="4" t="s">
        <v>23</v>
      </c>
    </row>
    <row r="15" spans="1:4" x14ac:dyDescent="0.3">
      <c r="A15" s="6">
        <v>46288.932037037041</v>
      </c>
      <c r="B15" t="s">
        <v>13</v>
      </c>
      <c r="C15" s="1">
        <v>18000</v>
      </c>
      <c r="D15" s="4" t="s">
        <v>23</v>
      </c>
    </row>
    <row r="16" spans="1:4" x14ac:dyDescent="0.3">
      <c r="A16" s="6">
        <v>46288.924317129633</v>
      </c>
      <c r="B16" t="s">
        <v>20</v>
      </c>
      <c r="C16" s="1">
        <v>50000</v>
      </c>
      <c r="D16" s="4" t="s">
        <v>24</v>
      </c>
    </row>
    <row r="17" spans="1:4" x14ac:dyDescent="0.3">
      <c r="A17" s="6">
        <v>46288.9219212963</v>
      </c>
      <c r="B17" t="s">
        <v>20</v>
      </c>
      <c r="C17" s="1">
        <v>14100</v>
      </c>
      <c r="D17" s="4" t="s">
        <v>24</v>
      </c>
    </row>
    <row r="18" spans="1:4" x14ac:dyDescent="0.3">
      <c r="A18" s="6">
        <v>46288.921458333331</v>
      </c>
      <c r="B18" t="s">
        <v>20</v>
      </c>
      <c r="C18" s="1">
        <v>14000</v>
      </c>
      <c r="D18" s="4" t="s">
        <v>24</v>
      </c>
    </row>
    <row r="19" spans="1:4" x14ac:dyDescent="0.3">
      <c r="A19" s="6">
        <v>46288.905150462961</v>
      </c>
      <c r="B19" t="s">
        <v>7</v>
      </c>
      <c r="C19" s="1">
        <v>22000</v>
      </c>
      <c r="D19" s="4" t="s">
        <v>25</v>
      </c>
    </row>
    <row r="20" spans="1:4" x14ac:dyDescent="0.3">
      <c r="A20" s="6">
        <v>46288.902291666665</v>
      </c>
      <c r="B20" t="s">
        <v>7</v>
      </c>
      <c r="C20" s="1">
        <v>22000</v>
      </c>
      <c r="D20" s="4" t="s">
        <v>26</v>
      </c>
    </row>
    <row r="21" spans="1:4" x14ac:dyDescent="0.3">
      <c r="A21" s="6">
        <v>46288.897476851853</v>
      </c>
      <c r="B21" t="s">
        <v>7</v>
      </c>
      <c r="C21" s="1">
        <v>22000</v>
      </c>
      <c r="D21" s="4" t="s">
        <v>27</v>
      </c>
    </row>
    <row r="22" spans="1:4" x14ac:dyDescent="0.3">
      <c r="A22" s="6">
        <v>46288.89166666667</v>
      </c>
      <c r="B22" s="5" t="s">
        <v>28</v>
      </c>
      <c r="C22" s="1">
        <v>22000</v>
      </c>
      <c r="D22" s="4" t="s">
        <v>29</v>
      </c>
    </row>
    <row r="23" spans="1:4" x14ac:dyDescent="0.3">
      <c r="A23" s="6">
        <v>46288.887488425928</v>
      </c>
      <c r="B23" s="5" t="s">
        <v>15</v>
      </c>
      <c r="C23" s="1">
        <v>11000</v>
      </c>
      <c r="D23" s="4" t="s">
        <v>30</v>
      </c>
    </row>
    <row r="24" spans="1:4" x14ac:dyDescent="0.3">
      <c r="A24" s="6">
        <v>46288.883634259262</v>
      </c>
      <c r="B24" t="s">
        <v>13</v>
      </c>
      <c r="C24" s="1">
        <v>1000000</v>
      </c>
      <c r="D24" s="4" t="s">
        <v>31</v>
      </c>
    </row>
    <row r="25" spans="1:4" x14ac:dyDescent="0.3">
      <c r="A25" s="6">
        <v>46288.878611111111</v>
      </c>
      <c r="B25" t="s">
        <v>13</v>
      </c>
      <c r="C25" s="1">
        <v>350000</v>
      </c>
      <c r="D25" s="4" t="s">
        <v>32</v>
      </c>
    </row>
    <row r="26" spans="1:4" x14ac:dyDescent="0.3">
      <c r="A26" s="6">
        <v>46288.87809027778</v>
      </c>
      <c r="B26" t="s">
        <v>13</v>
      </c>
      <c r="C26" s="1">
        <v>100000</v>
      </c>
      <c r="D26" s="4" t="s">
        <v>33</v>
      </c>
    </row>
    <row r="27" spans="1:4" x14ac:dyDescent="0.3">
      <c r="A27" s="6">
        <v>46288.877442129633</v>
      </c>
      <c r="B27" t="s">
        <v>13</v>
      </c>
      <c r="C27" s="1">
        <v>70000</v>
      </c>
      <c r="D27" s="4" t="s">
        <v>34</v>
      </c>
    </row>
    <row r="28" spans="1:4" x14ac:dyDescent="0.3">
      <c r="A28" s="6">
        <v>46288.877384259256</v>
      </c>
      <c r="B28" t="s">
        <v>13</v>
      </c>
      <c r="C28" s="1">
        <v>60000</v>
      </c>
      <c r="D28" s="4" t="s">
        <v>35</v>
      </c>
    </row>
    <row r="29" spans="1:4" x14ac:dyDescent="0.3">
      <c r="A29" s="6">
        <v>46288.877326388887</v>
      </c>
      <c r="B29" t="s">
        <v>13</v>
      </c>
      <c r="C29" s="1">
        <v>50000</v>
      </c>
      <c r="D29" s="4" t="s">
        <v>36</v>
      </c>
    </row>
    <row r="30" spans="1:4" x14ac:dyDescent="0.3">
      <c r="A30" s="6">
        <v>46288.877233796295</v>
      </c>
      <c r="B30" t="s">
        <v>13</v>
      </c>
      <c r="C30" s="1">
        <v>20000</v>
      </c>
      <c r="D30" s="4" t="s">
        <v>37</v>
      </c>
    </row>
    <row r="31" spans="1:4" x14ac:dyDescent="0.3">
      <c r="A31" s="6">
        <v>46288.877141203702</v>
      </c>
      <c r="B31" t="s">
        <v>13</v>
      </c>
      <c r="C31" s="1">
        <v>10000</v>
      </c>
      <c r="D31" s="4" t="s">
        <v>38</v>
      </c>
    </row>
    <row r="32" spans="1:4" x14ac:dyDescent="0.3">
      <c r="A32" s="6">
        <v>46288.849131944444</v>
      </c>
      <c r="B32" t="s">
        <v>13</v>
      </c>
      <c r="C32" s="1">
        <v>14100</v>
      </c>
      <c r="D32" s="4" t="s">
        <v>39</v>
      </c>
    </row>
    <row r="33" spans="1:4" x14ac:dyDescent="0.3">
      <c r="A33" s="6">
        <v>46288.833518518521</v>
      </c>
      <c r="B33" t="s">
        <v>13</v>
      </c>
      <c r="C33" s="1">
        <v>75500</v>
      </c>
      <c r="D33" s="4" t="s">
        <v>40</v>
      </c>
    </row>
    <row r="34" spans="1:4" x14ac:dyDescent="0.3">
      <c r="A34" s="6">
        <v>46288.822025462963</v>
      </c>
      <c r="B34" t="s">
        <v>41</v>
      </c>
      <c r="C34" s="1">
        <v>42300</v>
      </c>
      <c r="D34" s="4" t="s">
        <v>42</v>
      </c>
    </row>
    <row r="35" spans="1:4" x14ac:dyDescent="0.3">
      <c r="A35" s="6">
        <v>46288.821319444447</v>
      </c>
      <c r="B35" t="s">
        <v>13</v>
      </c>
      <c r="C35" s="1">
        <v>75500</v>
      </c>
      <c r="D35" s="4" t="s">
        <v>43</v>
      </c>
    </row>
    <row r="36" spans="1:4" x14ac:dyDescent="0.3">
      <c r="A36" s="6">
        <v>46288.81863425926</v>
      </c>
      <c r="B36" t="s">
        <v>44</v>
      </c>
      <c r="C36" s="1">
        <v>13000</v>
      </c>
      <c r="D36" s="4" t="s">
        <v>45</v>
      </c>
    </row>
    <row r="37" spans="1:4" x14ac:dyDescent="0.3">
      <c r="A37" s="6">
        <v>46288.811840277776</v>
      </c>
      <c r="B37" t="s">
        <v>13</v>
      </c>
      <c r="C37" s="1">
        <v>50000</v>
      </c>
      <c r="D37" s="4" t="s">
        <v>46</v>
      </c>
    </row>
    <row r="38" spans="1:4" x14ac:dyDescent="0.3">
      <c r="A38" s="6">
        <v>46288.810833333337</v>
      </c>
      <c r="B38" t="s">
        <v>13</v>
      </c>
      <c r="C38" s="1">
        <v>13000</v>
      </c>
      <c r="D38" s="4" t="s">
        <v>47</v>
      </c>
    </row>
    <row r="39" spans="1:4" x14ac:dyDescent="0.3">
      <c r="A39" s="6">
        <v>46288.804085648146</v>
      </c>
      <c r="B39" s="5" t="s">
        <v>48</v>
      </c>
      <c r="C39" s="1">
        <v>14100</v>
      </c>
      <c r="D39" s="4" t="s">
        <v>49</v>
      </c>
    </row>
    <row r="40" spans="1:4" x14ac:dyDescent="0.3">
      <c r="A40" s="6">
        <v>46288.799247685187</v>
      </c>
      <c r="B40" s="5" t="s">
        <v>50</v>
      </c>
      <c r="C40" s="1">
        <v>56400</v>
      </c>
      <c r="D40" s="4" t="s">
        <v>51</v>
      </c>
    </row>
    <row r="41" spans="1:4" x14ac:dyDescent="0.3">
      <c r="A41" s="6">
        <v>46288.79142361111</v>
      </c>
      <c r="B41" t="s">
        <v>52</v>
      </c>
      <c r="C41" s="1">
        <v>10000</v>
      </c>
      <c r="D41" s="4" t="s">
        <v>53</v>
      </c>
    </row>
    <row r="42" spans="1:4" x14ac:dyDescent="0.3">
      <c r="A42" s="6">
        <v>46288.79042824074</v>
      </c>
      <c r="B42" t="s">
        <v>52</v>
      </c>
      <c r="C42" s="1">
        <v>10000</v>
      </c>
      <c r="D42" s="4" t="s">
        <v>54</v>
      </c>
    </row>
    <row r="43" spans="1:4" x14ac:dyDescent="0.3">
      <c r="A43" s="6">
        <v>46288.7890625</v>
      </c>
      <c r="B43" s="4" t="s">
        <v>55</v>
      </c>
      <c r="C43" s="1">
        <v>10000</v>
      </c>
      <c r="D43" s="4" t="s">
        <v>56</v>
      </c>
    </row>
    <row r="44" spans="1:4" x14ac:dyDescent="0.3">
      <c r="A44" s="6">
        <v>46288.785497685189</v>
      </c>
      <c r="B44" t="s">
        <v>57</v>
      </c>
      <c r="C44" s="1">
        <v>9000</v>
      </c>
      <c r="D44" s="4" t="s">
        <v>58</v>
      </c>
    </row>
    <row r="45" spans="1:4" x14ac:dyDescent="0.3">
      <c r="A45" s="6">
        <v>46288.783275462964</v>
      </c>
      <c r="B45" t="s">
        <v>59</v>
      </c>
      <c r="C45" s="1">
        <v>14100</v>
      </c>
      <c r="D45" s="4" t="s">
        <v>60</v>
      </c>
    </row>
    <row r="46" spans="1:4" x14ac:dyDescent="0.3">
      <c r="A46" s="6">
        <v>46288.762731481482</v>
      </c>
      <c r="B46" t="s">
        <v>13</v>
      </c>
      <c r="C46" s="1">
        <v>100000</v>
      </c>
      <c r="D46" s="4" t="s">
        <v>65</v>
      </c>
    </row>
    <row r="47" spans="1:4" x14ac:dyDescent="0.3">
      <c r="A47" s="6">
        <v>46288.761493055557</v>
      </c>
      <c r="B47" t="s">
        <v>13</v>
      </c>
      <c r="C47" s="1">
        <v>20000</v>
      </c>
      <c r="D47" s="4" t="s">
        <v>64</v>
      </c>
    </row>
    <row r="48" spans="1:4" ht="15.75" customHeight="1" x14ac:dyDescent="0.3">
      <c r="A48" s="6">
        <v>46288.760636574072</v>
      </c>
      <c r="B48" t="s">
        <v>7</v>
      </c>
      <c r="C48" s="1">
        <v>100000</v>
      </c>
      <c r="D48" s="4" t="s">
        <v>63</v>
      </c>
    </row>
    <row r="49" spans="1:4" x14ac:dyDescent="0.3">
      <c r="A49" s="6">
        <v>46288.755879629629</v>
      </c>
      <c r="B49" t="s">
        <v>7</v>
      </c>
      <c r="C49" s="1">
        <v>28000</v>
      </c>
      <c r="D49" s="4" t="s">
        <v>62</v>
      </c>
    </row>
    <row r="50" spans="1:4" x14ac:dyDescent="0.3">
      <c r="A50" s="6">
        <v>46288.755844907406</v>
      </c>
      <c r="B50" t="s">
        <v>7</v>
      </c>
      <c r="C50" s="1">
        <v>28000</v>
      </c>
      <c r="D50" s="4" t="s">
        <v>61</v>
      </c>
    </row>
    <row r="51" spans="1:4" x14ac:dyDescent="0.3">
      <c r="A51" s="6">
        <v>46288.749641203707</v>
      </c>
      <c r="B51" s="4" t="s">
        <v>55</v>
      </c>
      <c r="C51" s="1">
        <v>9000</v>
      </c>
      <c r="D51" s="4" t="s">
        <v>66</v>
      </c>
    </row>
    <row r="52" spans="1:4" x14ac:dyDescent="0.3">
      <c r="A52" s="6">
        <v>46288.74659722222</v>
      </c>
      <c r="B52" t="s">
        <v>44</v>
      </c>
      <c r="C52" s="1">
        <v>51000</v>
      </c>
      <c r="D52" s="4" t="s">
        <v>75</v>
      </c>
    </row>
    <row r="53" spans="1:4" x14ac:dyDescent="0.3">
      <c r="A53" s="6">
        <v>46288.745011574072</v>
      </c>
      <c r="B53" t="s">
        <v>13</v>
      </c>
      <c r="C53" s="1">
        <v>500000</v>
      </c>
      <c r="D53" s="4" t="s">
        <v>74</v>
      </c>
    </row>
    <row r="54" spans="1:4" x14ac:dyDescent="0.3">
      <c r="A54" s="6">
        <v>46288.744872685187</v>
      </c>
      <c r="B54" t="s">
        <v>13</v>
      </c>
      <c r="C54" s="1">
        <v>70000</v>
      </c>
      <c r="D54" s="4" t="s">
        <v>73</v>
      </c>
    </row>
    <row r="55" spans="1:4" x14ac:dyDescent="0.3">
      <c r="A55" s="6">
        <v>46288.744826388887</v>
      </c>
      <c r="B55" t="s">
        <v>13</v>
      </c>
      <c r="C55" s="1">
        <v>60000</v>
      </c>
      <c r="D55" s="4" t="s">
        <v>72</v>
      </c>
    </row>
    <row r="56" spans="1:4" x14ac:dyDescent="0.3">
      <c r="A56" s="6">
        <v>46288.744745370372</v>
      </c>
      <c r="B56" t="s">
        <v>13</v>
      </c>
      <c r="C56" s="1">
        <v>50000</v>
      </c>
      <c r="D56" s="4" t="s">
        <v>71</v>
      </c>
    </row>
    <row r="57" spans="1:4" x14ac:dyDescent="0.3">
      <c r="A57" s="6">
        <v>46288.744652777779</v>
      </c>
      <c r="B57" t="s">
        <v>13</v>
      </c>
      <c r="C57" s="1">
        <v>20000</v>
      </c>
      <c r="D57" s="4" t="s">
        <v>70</v>
      </c>
    </row>
    <row r="58" spans="1:4" x14ac:dyDescent="0.3">
      <c r="A58" s="6">
        <v>46288.744583333333</v>
      </c>
      <c r="B58" t="s">
        <v>13</v>
      </c>
      <c r="C58" s="1">
        <v>10000</v>
      </c>
      <c r="D58" s="4" t="s">
        <v>69</v>
      </c>
    </row>
    <row r="59" spans="1:4" x14ac:dyDescent="0.3">
      <c r="A59" s="6">
        <v>46288.740567129629</v>
      </c>
      <c r="B59" s="5" t="s">
        <v>68</v>
      </c>
      <c r="C59" s="1">
        <v>9000</v>
      </c>
      <c r="D59" s="4" t="s">
        <v>67</v>
      </c>
    </row>
    <row r="60" spans="1:4" ht="17.25" thickBot="1" x14ac:dyDescent="0.35">
      <c r="A60" s="6">
        <v>46288.733611111114</v>
      </c>
      <c r="B60" s="5" t="s">
        <v>68</v>
      </c>
      <c r="C60" s="1">
        <v>10000</v>
      </c>
      <c r="D60" s="4" t="s">
        <v>76</v>
      </c>
    </row>
    <row r="61" spans="1:4" ht="18" thickTop="1" thickBot="1" x14ac:dyDescent="0.35">
      <c r="B61" s="7" t="s">
        <v>77</v>
      </c>
      <c r="C61" s="8">
        <f>SUM(C2:C60)</f>
        <v>9712300</v>
      </c>
    </row>
    <row r="62" spans="1:4" ht="17.25" thickTop="1" x14ac:dyDescent="0.3"/>
    <row r="63" spans="1:4" x14ac:dyDescent="0.3">
      <c r="A63" s="12" t="s">
        <v>80</v>
      </c>
      <c r="B63" s="12" t="s">
        <v>81</v>
      </c>
      <c r="C63" s="12" t="s">
        <v>82</v>
      </c>
    </row>
    <row r="64" spans="1:4" ht="17.25" thickBot="1" x14ac:dyDescent="0.35">
      <c r="A64" s="11" t="s">
        <v>79</v>
      </c>
      <c r="B64" s="10" t="s">
        <v>78</v>
      </c>
      <c r="C64" s="9">
        <v>15100</v>
      </c>
    </row>
    <row r="65" spans="1:9" ht="18" thickTop="1" thickBot="1" x14ac:dyDescent="0.35">
      <c r="B65" s="7" t="s">
        <v>83</v>
      </c>
      <c r="C65" s="8">
        <f>SUM(C64)</f>
        <v>15100</v>
      </c>
    </row>
    <row r="66" spans="1:9" ht="18" thickTop="1" thickBot="1" x14ac:dyDescent="0.35"/>
    <row r="67" spans="1:9" ht="18" thickTop="1" thickBot="1" x14ac:dyDescent="0.35">
      <c r="A67" s="13" t="s">
        <v>84</v>
      </c>
      <c r="B67" s="14">
        <f>C65</f>
        <v>15100</v>
      </c>
      <c r="C67" s="15" t="s">
        <v>85</v>
      </c>
      <c r="D67" s="16">
        <f>B67*10%</f>
        <v>1510</v>
      </c>
      <c r="E67" s="17"/>
      <c r="F67" s="18"/>
      <c r="G67" s="19" t="s">
        <v>86</v>
      </c>
      <c r="H67" s="20">
        <f>(B67-D67)*80%</f>
        <v>10872</v>
      </c>
    </row>
    <row r="68" spans="1:9" ht="18" thickTop="1" thickBot="1" x14ac:dyDescent="0.35">
      <c r="A68" s="13" t="s">
        <v>87</v>
      </c>
      <c r="B68" s="14">
        <f>C61</f>
        <v>9712300</v>
      </c>
      <c r="C68" s="15" t="s">
        <v>88</v>
      </c>
      <c r="D68" s="16">
        <f>B68*10%</f>
        <v>971230</v>
      </c>
      <c r="E68" s="21" t="s">
        <v>85</v>
      </c>
      <c r="F68" s="22">
        <f>B68*10%</f>
        <v>971230</v>
      </c>
      <c r="G68" s="19" t="s">
        <v>86</v>
      </c>
      <c r="H68" s="20">
        <f>(B68-D68-F68)*80%</f>
        <v>6215872</v>
      </c>
    </row>
    <row r="69" spans="1:9" ht="17.25" thickBot="1" x14ac:dyDescent="0.35">
      <c r="C69" s="1"/>
      <c r="E69" s="1"/>
    </row>
    <row r="70" spans="1:9" ht="18" thickTop="1" thickBot="1" x14ac:dyDescent="0.35">
      <c r="A70" s="23" t="s">
        <v>89</v>
      </c>
      <c r="B70" s="24">
        <f>H67+H68</f>
        <v>6226744</v>
      </c>
      <c r="C70" s="23" t="s">
        <v>90</v>
      </c>
      <c r="D70" s="25">
        <f>D71+D72</f>
        <v>205480</v>
      </c>
      <c r="E70" s="26" t="s">
        <v>91</v>
      </c>
      <c r="F70" s="27">
        <f>B70-D70</f>
        <v>6021264</v>
      </c>
      <c r="G70" s="28"/>
      <c r="H70" s="28"/>
      <c r="I70" s="29"/>
    </row>
    <row r="71" spans="1:9" ht="17.25" thickTop="1" x14ac:dyDescent="0.3">
      <c r="C71" s="30" t="s">
        <v>92</v>
      </c>
      <c r="D71" s="30">
        <f>ROUNDDOWN((B70*3%),-1)</f>
        <v>186800</v>
      </c>
      <c r="E71" s="1"/>
    </row>
    <row r="72" spans="1:9" x14ac:dyDescent="0.3">
      <c r="C72" s="30" t="s">
        <v>93</v>
      </c>
      <c r="D72" s="30">
        <f>ROUNDDOWN((D71*10%),-1)</f>
        <v>18680</v>
      </c>
    </row>
    <row r="73" spans="1:9" x14ac:dyDescent="0.3">
      <c r="A73"/>
      <c r="C7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2026-09-27T11:57:23Z</dcterms:created>
  <dcterms:modified xsi:type="dcterms:W3CDTF">2026-09-27T12:05:01Z</dcterms:modified>
</cp:coreProperties>
</file>