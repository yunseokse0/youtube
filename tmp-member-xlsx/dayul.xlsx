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13_ncr:1_{686075D3-C534-4FD8-BDBE-FDD6A44F971B}" xr6:coauthVersionLast="47" xr6:coauthVersionMax="47" xr10:uidLastSave="{00000000-0000-0000-0000-000000000000}"/>
  <bookViews>
    <workbookView xWindow="60090" yWindow="435" windowWidth="16170" windowHeight="20130" xr2:uid="{E87C7590-15A7-4ED8-8DE9-77AED4040A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1" i="1" l="1"/>
  <c r="B100" i="1"/>
  <c r="C98" i="1"/>
  <c r="D100" i="1" l="1"/>
  <c r="H100" i="1" s="1"/>
  <c r="D101" i="1"/>
  <c r="F101" i="1"/>
  <c r="H101" i="1" l="1"/>
  <c r="B103" i="1" s="1"/>
  <c r="D104" i="1" s="1"/>
  <c r="D105" i="1" l="1"/>
  <c r="D103" i="1" s="1"/>
  <c r="F103" i="1" s="1"/>
  <c r="C79" i="1"/>
</calcChain>
</file>

<file path=xl/sharedStrings.xml><?xml version="1.0" encoding="utf-8"?>
<sst xmlns="http://schemas.openxmlformats.org/spreadsheetml/2006/main" count="207" uniqueCount="116">
  <si>
    <t>Time</t>
  </si>
  <si>
    <t xml:space="preserve"> Name</t>
  </si>
  <si>
    <t xml:space="preserve"> Amount</t>
  </si>
  <si>
    <t xml:space="preserve"> Message</t>
  </si>
  <si>
    <t>채원경</t>
  </si>
  <si>
    <t xml:space="preserve">홀리몰리 - </t>
  </si>
  <si>
    <t>솜사탕 - 다율아 진짜다</t>
  </si>
  <si>
    <t>여우 - 다율아. 마지막이다</t>
  </si>
  <si>
    <t xml:space="preserve">캐치캐치 - 다율아. 얼릉 조심가.  </t>
  </si>
  <si>
    <t xml:space="preserve">홀리몰리 - 다율아 얼릉 집에. 조심히 들어 가라  </t>
  </si>
  <si>
    <t>나머행</t>
  </si>
  <si>
    <t>사마귀 - 다율님 괴롭혀서 죄송해용</t>
  </si>
  <si>
    <t>자키집고양이</t>
  </si>
  <si>
    <t>Dark Side - 진다율 대표로도 플레이어로도 항상 응원해요</t>
  </si>
  <si>
    <t>먹지마 - 다율아 가발 벗어라</t>
  </si>
  <si>
    <t>먹어 - 가발만쓰세요 다율님</t>
  </si>
  <si>
    <t>먹지마 - 다율아 가발  벗어라</t>
  </si>
  <si>
    <t>먹지마 - 다율아 옷을 벗어라</t>
  </si>
  <si>
    <t>먹어 - 입으시고 가발까지요</t>
  </si>
  <si>
    <t>먹어 - 다율님 입으시라니깐요</t>
  </si>
  <si>
    <t>R3TR0</t>
  </si>
  <si>
    <t>홀리몰리 - 진다율 🤍</t>
  </si>
  <si>
    <t>먹어 - 다율님 그냥 입고계세여</t>
  </si>
  <si>
    <t>먹지마 - 다율아 옷을. 벗어라</t>
  </si>
  <si>
    <t>합동</t>
  </si>
  <si>
    <t>다율온니 레몬 먹지망</t>
  </si>
  <si>
    <t>먹지마 - 둘다 먹지 말어</t>
  </si>
  <si>
    <t>흡연화장실 - 다율</t>
  </si>
  <si>
    <t>홀리몰리 - 다율</t>
  </si>
  <si>
    <t>먹어 - 다율</t>
  </si>
  <si>
    <t>자키집안나</t>
  </si>
  <si>
    <t>먹어 - 다율님 레몬....드세여 헤헷</t>
  </si>
  <si>
    <t>캐치캐치 - 다율아난니가좋으니우리끝까지가는거다</t>
  </si>
  <si>
    <t>바우치 - 다율이 외모 폭력적인거봐</t>
  </si>
  <si>
    <t>먹지마 - 다율</t>
  </si>
  <si>
    <t>크리스</t>
  </si>
  <si>
    <t xml:space="preserve">다율이 와사비 10개추가 </t>
  </si>
  <si>
    <t>Lala</t>
  </si>
  <si>
    <t>먹어 - 다율 옷입어ㅇㅇ</t>
  </si>
  <si>
    <t>진다율 와사비 2개</t>
  </si>
  <si>
    <t>캐치캐치 - 다율</t>
  </si>
  <si>
    <t>진다율 와사비</t>
  </si>
  <si>
    <t>진다율 ㅊㅋ해 와사비</t>
  </si>
  <si>
    <t>탱탱구</t>
  </si>
  <si>
    <t>아가리해라 다율아이제잔다그리고 대표님괜찮습니다</t>
  </si>
  <si>
    <t>땅이 머냐고 세번째 묻고있다 ㅅㅂ</t>
  </si>
  <si>
    <t>도대체 땅이 머야? 졸리니깐 이제 찾지마!</t>
  </si>
  <si>
    <t>누가 나 찾았어?</t>
  </si>
  <si>
    <t>New제로투 - 다율</t>
  </si>
  <si>
    <t>솜사탕 - 다율</t>
  </si>
  <si>
    <t>심뽀</t>
  </si>
  <si>
    <t>New제로투 - 욕로투는 다율이죠</t>
  </si>
  <si>
    <t>힛트</t>
  </si>
  <si>
    <t>먹지마 - 실드 가지고 있어</t>
  </si>
  <si>
    <t>잼께 놀다와~</t>
  </si>
  <si>
    <t>먼지 모르겠으니깐 땅을사던 먹던말던 알아해라</t>
  </si>
  <si>
    <t>머하는건지 나만 이해가 안가는거냐 다율아?</t>
  </si>
  <si>
    <t xml:space="preserve">홀리몰리 - 다율아 땅 넓히자 </t>
  </si>
  <si>
    <t>설향</t>
  </si>
  <si>
    <t>화장 지우지마 다율</t>
  </si>
  <si>
    <t>호텔파티 - 다율 땅사자</t>
  </si>
  <si>
    <t xml:space="preserve">먹어 - 로제찜닭 먹자 </t>
  </si>
  <si>
    <t>다율 땅 넓혀 보자</t>
  </si>
  <si>
    <t>다율이 신발 벗어</t>
  </si>
  <si>
    <t>쩌엉</t>
  </si>
  <si>
    <t>먹어 - 다율님 그 옷에 화장 안어울리는거 같아요ㅋㅋㅋ</t>
  </si>
  <si>
    <t>홀리몰리 - 다율언니 옷 어떤댕ㅋㅋㅋㅋㅋ</t>
  </si>
  <si>
    <t xml:space="preserve">솜사탕 - </t>
  </si>
  <si>
    <t>자키집쓰볼탱69</t>
  </si>
  <si>
    <t>아그래요 ?? 다율님 종이컵에 까나리한잔 짠?</t>
  </si>
  <si>
    <t>진다율 화장지워</t>
  </si>
  <si>
    <t>터미널 - 다율</t>
  </si>
  <si>
    <t xml:space="preserve">흡연화장실 - </t>
  </si>
  <si>
    <t>초우</t>
  </si>
  <si>
    <t>캐치캐치 - 다율꼬맹아. 재미써???</t>
  </si>
  <si>
    <t>활어 - 난 한놈만 패기때문에 탐색좀 할게 진다율컴</t>
  </si>
  <si>
    <t>캐치캐치 - 다율아 힘들어 화이팅 하자</t>
  </si>
  <si>
    <t>투네이션 합계</t>
    <phoneticPr fontId="2" type="noConversion"/>
  </si>
  <si>
    <t>거래일시</t>
  </si>
  <si>
    <t>적요내용</t>
  </si>
  <si>
    <t>입금금액</t>
  </si>
  <si>
    <t>진다율많관부</t>
  </si>
  <si>
    <t>2026.09.23 23:49:50</t>
  </si>
  <si>
    <t>LALA옷입어</t>
  </si>
  <si>
    <t>2026.09.23 23:33:33</t>
  </si>
  <si>
    <t>LALA다율</t>
  </si>
  <si>
    <t>2026.09.23 23:37:12</t>
  </si>
  <si>
    <t>힛트-다율가발</t>
  </si>
  <si>
    <t>2026.09.23 22:21:38</t>
  </si>
  <si>
    <t>구름 진다율</t>
  </si>
  <si>
    <t>2026.09.23 22:26:29</t>
  </si>
  <si>
    <t>힛트-다율 홍어먹자</t>
  </si>
  <si>
    <t>2026.09.23 23:04:43</t>
  </si>
  <si>
    <t>힛트-다율실드</t>
  </si>
  <si>
    <t>2026.09.23 22:16:48</t>
  </si>
  <si>
    <t>2026.09.23 22:14:17</t>
  </si>
  <si>
    <t>2026.09.23 22:15:32</t>
  </si>
  <si>
    <t>구름 진다율 맘대로</t>
  </si>
  <si>
    <t>2026.09.23 21:33:44</t>
  </si>
  <si>
    <t>2026.09.23 21:00:53</t>
  </si>
  <si>
    <t>2026.09.23 19:28:19</t>
  </si>
  <si>
    <t>2026.09.23 19:28:44</t>
  </si>
  <si>
    <t>2026.09.23 19:30:17</t>
  </si>
  <si>
    <t>2026.09.23 19:31:05</t>
  </si>
  <si>
    <t>2026.09.23 18:23:47</t>
  </si>
  <si>
    <t>계좌합계</t>
    <phoneticPr fontId="2" type="noConversion"/>
  </si>
  <si>
    <t>계좌 후원 금액</t>
    <phoneticPr fontId="2" type="noConversion"/>
  </si>
  <si>
    <t>부가세</t>
    <phoneticPr fontId="2" type="noConversion"/>
  </si>
  <si>
    <t>정산금 80%</t>
    <phoneticPr fontId="2" type="noConversion"/>
  </si>
  <si>
    <t>투네이션 후원 금액</t>
    <phoneticPr fontId="2" type="noConversion"/>
  </si>
  <si>
    <t>수수료</t>
    <phoneticPr fontId="2" type="noConversion"/>
  </si>
  <si>
    <t>정산금 총 합계</t>
    <phoneticPr fontId="2" type="noConversion"/>
  </si>
  <si>
    <t>원천세</t>
    <phoneticPr fontId="2" type="noConversion"/>
  </si>
  <si>
    <t>실지급액</t>
    <phoneticPr fontId="2" type="noConversion"/>
  </si>
  <si>
    <t>소득세</t>
    <phoneticPr fontId="2" type="noConversion"/>
  </si>
  <si>
    <t>지방소득세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</si>
</sst>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>
      <alignment vertical="center"/>
    </xf>
    <xf numFmtId="41" fontId="6" fillId="4" borderId="13" xfId="1" applyFont="1" applyFill="1" applyBorder="1" applyAlignment="1">
      <alignment horizontal="center" vertical="center"/>
    </xf>
    <xf numFmtId="41" fontId="6" fillId="4" borderId="2" xfId="1" applyFont="1" applyFill="1" applyBorder="1" applyAlignment="1">
      <alignment horizontal="center" vertical="center"/>
    </xf>
    <xf numFmtId="41" fontId="6" fillId="4" borderId="2" xfId="1" applyFont="1" applyFill="1" applyBorder="1">
      <alignment vertical="center"/>
    </xf>
    <xf numFmtId="41" fontId="7" fillId="4" borderId="13" xfId="1" applyFont="1" applyFill="1" applyBorder="1" applyAlignment="1">
      <alignment horizontal="center" vertical="center"/>
    </xf>
    <xf numFmtId="41" fontId="7" fillId="4" borderId="2" xfId="1" applyFont="1" applyFill="1" applyBorder="1">
      <alignment vertical="center"/>
    </xf>
    <xf numFmtId="41" fontId="6" fillId="4" borderId="0" xfId="1" applyFont="1" applyFill="1">
      <alignment vertical="center"/>
    </xf>
    <xf numFmtId="0" fontId="6" fillId="0" borderId="0" xfId="0" applyFont="1">
      <alignment vertical="center"/>
    </xf>
    <xf numFmtId="41" fontId="8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E240-1D03-4578-BA7C-94EEC78F5293}">
  <dimension ref="A1:I106"/>
  <sheetViews>
    <sheetView tabSelected="1" topLeftCell="A61" workbookViewId="0">
      <selection activeCell="B110" sqref="B110"/>
    </sheetView>
  </sheetViews>
  <sheetFormatPr defaultRowHeight="16.5" x14ac:dyDescent="0.3"/>
  <cols>
    <col min="1" max="1" width="18.5" style="10" bestFit="1" customWidth="1"/>
    <col min="2" max="2" width="18.75" bestFit="1" customWidth="1"/>
    <col min="3" max="8" width="13.75" customWidth="1"/>
  </cols>
  <sheetData>
    <row r="1" spans="1:4" s="10" customFormat="1" x14ac:dyDescent="0.3">
      <c r="A1" s="10" t="s">
        <v>0</v>
      </c>
      <c r="B1" s="10" t="s">
        <v>1</v>
      </c>
      <c r="C1" s="12" t="s">
        <v>2</v>
      </c>
      <c r="D1" s="10" t="s">
        <v>3</v>
      </c>
    </row>
    <row r="2" spans="1:4" x14ac:dyDescent="0.3">
      <c r="A2" s="11">
        <v>46289.022210648145</v>
      </c>
      <c r="B2" t="s">
        <v>4</v>
      </c>
      <c r="C2" s="1">
        <v>10000</v>
      </c>
      <c r="D2" s="2" t="s">
        <v>5</v>
      </c>
    </row>
    <row r="3" spans="1:4" x14ac:dyDescent="0.3">
      <c r="A3" s="11">
        <v>46289.020150462966</v>
      </c>
      <c r="B3" t="s">
        <v>4</v>
      </c>
      <c r="C3" s="1">
        <v>9000</v>
      </c>
      <c r="D3" s="2" t="s">
        <v>6</v>
      </c>
    </row>
    <row r="4" spans="1:4" x14ac:dyDescent="0.3">
      <c r="A4" s="11">
        <v>46289.018414351849</v>
      </c>
      <c r="B4" t="s">
        <v>4</v>
      </c>
      <c r="C4" s="1">
        <v>23000</v>
      </c>
      <c r="D4" s="2" t="s">
        <v>7</v>
      </c>
    </row>
    <row r="5" spans="1:4" x14ac:dyDescent="0.3">
      <c r="A5" s="11">
        <v>46289.016423611109</v>
      </c>
      <c r="B5" t="s">
        <v>4</v>
      </c>
      <c r="C5" s="1">
        <v>20000</v>
      </c>
      <c r="D5" s="2" t="s">
        <v>8</v>
      </c>
    </row>
    <row r="6" spans="1:4" x14ac:dyDescent="0.3">
      <c r="A6" s="11">
        <v>46289.003171296295</v>
      </c>
      <c r="B6" t="s">
        <v>4</v>
      </c>
      <c r="C6" s="1">
        <v>10000</v>
      </c>
      <c r="D6" s="2" t="s">
        <v>9</v>
      </c>
    </row>
    <row r="7" spans="1:4" x14ac:dyDescent="0.3">
      <c r="A7" s="11">
        <v>46289.002118055556</v>
      </c>
      <c r="B7" t="s">
        <v>10</v>
      </c>
      <c r="C7" s="1">
        <v>13000</v>
      </c>
      <c r="D7" s="2" t="s">
        <v>11</v>
      </c>
    </row>
    <row r="8" spans="1:4" x14ac:dyDescent="0.3">
      <c r="A8" s="11">
        <v>46288.994270833333</v>
      </c>
      <c r="B8" s="3" t="s">
        <v>12</v>
      </c>
      <c r="C8" s="1">
        <v>100000</v>
      </c>
      <c r="D8" s="2" t="s">
        <v>13</v>
      </c>
    </row>
    <row r="9" spans="1:4" x14ac:dyDescent="0.3">
      <c r="A9" s="11">
        <v>46288.991087962961</v>
      </c>
      <c r="B9" t="s">
        <v>4</v>
      </c>
      <c r="C9" s="1">
        <v>15100</v>
      </c>
      <c r="D9" s="2" t="s">
        <v>14</v>
      </c>
    </row>
    <row r="10" spans="1:4" x14ac:dyDescent="0.3">
      <c r="A10" s="11">
        <v>46288.990104166667</v>
      </c>
      <c r="B10" t="s">
        <v>10</v>
      </c>
      <c r="C10" s="1">
        <v>14100</v>
      </c>
      <c r="D10" s="2" t="s">
        <v>15</v>
      </c>
    </row>
    <row r="11" spans="1:4" x14ac:dyDescent="0.3">
      <c r="A11" s="11">
        <v>46288.989305555559</v>
      </c>
      <c r="B11" t="s">
        <v>4</v>
      </c>
      <c r="C11" s="1">
        <v>15100</v>
      </c>
      <c r="D11" s="2" t="s">
        <v>16</v>
      </c>
    </row>
    <row r="12" spans="1:4" x14ac:dyDescent="0.3">
      <c r="A12" s="11">
        <v>46288.988055555557</v>
      </c>
      <c r="B12" t="s">
        <v>4</v>
      </c>
      <c r="C12" s="1">
        <v>15100</v>
      </c>
      <c r="D12" s="2" t="s">
        <v>17</v>
      </c>
    </row>
    <row r="13" spans="1:4" x14ac:dyDescent="0.3">
      <c r="A13" s="11">
        <v>46288.98715277778</v>
      </c>
      <c r="B13" t="s">
        <v>10</v>
      </c>
      <c r="C13" s="1">
        <v>14100</v>
      </c>
      <c r="D13" s="2" t="s">
        <v>18</v>
      </c>
    </row>
    <row r="14" spans="1:4" x14ac:dyDescent="0.3">
      <c r="A14" s="11">
        <v>46288.987083333333</v>
      </c>
      <c r="B14" t="s">
        <v>10</v>
      </c>
      <c r="C14" s="1">
        <v>14100</v>
      </c>
      <c r="D14" s="2" t="s">
        <v>19</v>
      </c>
    </row>
    <row r="15" spans="1:4" x14ac:dyDescent="0.3">
      <c r="A15" s="11">
        <v>46288.986203703702</v>
      </c>
      <c r="B15" t="s">
        <v>4</v>
      </c>
      <c r="C15" s="1">
        <v>15100</v>
      </c>
      <c r="D15" s="2" t="s">
        <v>17</v>
      </c>
    </row>
    <row r="16" spans="1:4" x14ac:dyDescent="0.3">
      <c r="A16" s="11">
        <v>46288.985462962963</v>
      </c>
      <c r="B16" t="s">
        <v>20</v>
      </c>
      <c r="C16" s="1">
        <v>10000</v>
      </c>
      <c r="D16" s="2" t="s">
        <v>21</v>
      </c>
    </row>
    <row r="17" spans="1:4" x14ac:dyDescent="0.3">
      <c r="A17" s="11">
        <v>46288.985381944447</v>
      </c>
      <c r="B17" t="s">
        <v>10</v>
      </c>
      <c r="C17" s="1">
        <v>14100</v>
      </c>
      <c r="D17" s="2" t="s">
        <v>22</v>
      </c>
    </row>
    <row r="18" spans="1:4" x14ac:dyDescent="0.3">
      <c r="A18" s="11">
        <v>46288.984884259262</v>
      </c>
      <c r="B18" t="s">
        <v>4</v>
      </c>
      <c r="C18" s="1">
        <v>15100</v>
      </c>
      <c r="D18" s="2" t="s">
        <v>23</v>
      </c>
    </row>
    <row r="19" spans="1:4" x14ac:dyDescent="0.3">
      <c r="A19" s="11">
        <v>46288.98369212963</v>
      </c>
      <c r="B19" t="s">
        <v>4</v>
      </c>
      <c r="C19" s="1">
        <v>15100</v>
      </c>
      <c r="D19" s="2" t="s">
        <v>17</v>
      </c>
    </row>
    <row r="20" spans="1:4" x14ac:dyDescent="0.3">
      <c r="A20" s="11">
        <v>46288.973912037036</v>
      </c>
      <c r="B20" t="s">
        <v>24</v>
      </c>
      <c r="C20" s="1">
        <v>15100</v>
      </c>
      <c r="D20" s="2" t="s">
        <v>25</v>
      </c>
    </row>
    <row r="21" spans="1:4" x14ac:dyDescent="0.3">
      <c r="A21" s="11">
        <v>46288.973101851851</v>
      </c>
      <c r="B21" t="s">
        <v>4</v>
      </c>
      <c r="C21" s="1">
        <v>15100</v>
      </c>
      <c r="D21" s="2" t="s">
        <v>26</v>
      </c>
    </row>
    <row r="22" spans="1:4" x14ac:dyDescent="0.3">
      <c r="A22" s="11">
        <v>46288.967118055552</v>
      </c>
      <c r="B22" t="s">
        <v>4</v>
      </c>
      <c r="C22" s="1">
        <v>11900</v>
      </c>
      <c r="D22" s="2" t="s">
        <v>27</v>
      </c>
    </row>
    <row r="23" spans="1:4" x14ac:dyDescent="0.3">
      <c r="A23" s="11">
        <v>46288.967048611114</v>
      </c>
      <c r="B23" t="s">
        <v>4</v>
      </c>
      <c r="C23" s="1">
        <v>10000</v>
      </c>
      <c r="D23" s="2" t="s">
        <v>28</v>
      </c>
    </row>
    <row r="24" spans="1:4" x14ac:dyDescent="0.3">
      <c r="A24" s="11">
        <v>46288.964490740742</v>
      </c>
      <c r="B24" t="s">
        <v>4</v>
      </c>
      <c r="C24" s="1">
        <v>14100</v>
      </c>
      <c r="D24" s="2" t="s">
        <v>29</v>
      </c>
    </row>
    <row r="25" spans="1:4" x14ac:dyDescent="0.3">
      <c r="A25" s="11">
        <v>46288.963541666664</v>
      </c>
      <c r="B25" s="3" t="s">
        <v>30</v>
      </c>
      <c r="C25" s="1">
        <v>14100</v>
      </c>
      <c r="D25" s="2" t="s">
        <v>31</v>
      </c>
    </row>
    <row r="26" spans="1:4" x14ac:dyDescent="0.3">
      <c r="A26" s="11">
        <v>46288.961145833331</v>
      </c>
      <c r="B26" t="s">
        <v>4</v>
      </c>
      <c r="C26" s="1">
        <v>14100</v>
      </c>
      <c r="D26" s="2" t="s">
        <v>29</v>
      </c>
    </row>
    <row r="27" spans="1:4" x14ac:dyDescent="0.3">
      <c r="A27" s="11">
        <v>46288.937997685185</v>
      </c>
      <c r="B27" t="s">
        <v>4</v>
      </c>
      <c r="C27" s="1">
        <v>20000</v>
      </c>
      <c r="D27" s="2" t="s">
        <v>32</v>
      </c>
    </row>
    <row r="28" spans="1:4" x14ac:dyDescent="0.3">
      <c r="A28" s="11">
        <v>46288.937939814816</v>
      </c>
      <c r="B28" s="3" t="s">
        <v>12</v>
      </c>
      <c r="C28" s="1">
        <v>32000</v>
      </c>
      <c r="D28" s="2" t="s">
        <v>33</v>
      </c>
    </row>
    <row r="29" spans="1:4" x14ac:dyDescent="0.3">
      <c r="A29" s="11">
        <v>46288.930636574078</v>
      </c>
      <c r="B29" t="s">
        <v>4</v>
      </c>
      <c r="C29" s="1">
        <v>15100</v>
      </c>
      <c r="D29" s="2" t="s">
        <v>34</v>
      </c>
    </row>
    <row r="30" spans="1:4" x14ac:dyDescent="0.3">
      <c r="A30" s="11">
        <v>46288.929907407408</v>
      </c>
      <c r="B30" t="s">
        <v>35</v>
      </c>
      <c r="C30" s="1">
        <v>141000</v>
      </c>
      <c r="D30" s="2" t="s">
        <v>36</v>
      </c>
    </row>
    <row r="31" spans="1:4" x14ac:dyDescent="0.3">
      <c r="A31" s="11">
        <v>46288.928113425929</v>
      </c>
      <c r="B31" t="s">
        <v>37</v>
      </c>
      <c r="C31" s="1">
        <v>14100</v>
      </c>
      <c r="D31" s="2" t="s">
        <v>38</v>
      </c>
    </row>
    <row r="32" spans="1:4" x14ac:dyDescent="0.3">
      <c r="A32" s="11">
        <v>46288.926238425927</v>
      </c>
      <c r="B32" t="s">
        <v>35</v>
      </c>
      <c r="C32" s="1">
        <v>28200</v>
      </c>
      <c r="D32" s="2" t="s">
        <v>39</v>
      </c>
    </row>
    <row r="33" spans="1:4" x14ac:dyDescent="0.3">
      <c r="A33" s="11">
        <v>46288.924409722225</v>
      </c>
      <c r="B33" t="s">
        <v>4</v>
      </c>
      <c r="C33" s="1">
        <v>20000</v>
      </c>
      <c r="D33" s="2" t="s">
        <v>40</v>
      </c>
    </row>
    <row r="34" spans="1:4" x14ac:dyDescent="0.3">
      <c r="A34" s="11">
        <v>46288.9218287037</v>
      </c>
      <c r="B34" t="s">
        <v>35</v>
      </c>
      <c r="C34" s="1">
        <v>14100</v>
      </c>
      <c r="D34" s="2" t="s">
        <v>41</v>
      </c>
    </row>
    <row r="35" spans="1:4" x14ac:dyDescent="0.3">
      <c r="A35" s="11">
        <v>46288.920300925929</v>
      </c>
      <c r="B35" t="s">
        <v>35</v>
      </c>
      <c r="C35" s="1">
        <v>14000</v>
      </c>
      <c r="D35" s="2" t="s">
        <v>42</v>
      </c>
    </row>
    <row r="36" spans="1:4" x14ac:dyDescent="0.3">
      <c r="A36" s="11">
        <v>46288.918796296297</v>
      </c>
      <c r="B36" s="2" t="s">
        <v>43</v>
      </c>
      <c r="C36" s="1">
        <v>2000000</v>
      </c>
      <c r="D36" s="2" t="s">
        <v>44</v>
      </c>
    </row>
    <row r="37" spans="1:4" x14ac:dyDescent="0.3">
      <c r="A37" s="11">
        <v>46288.905405092592</v>
      </c>
      <c r="B37" s="2" t="s">
        <v>43</v>
      </c>
      <c r="C37" s="1">
        <v>3000000</v>
      </c>
      <c r="D37" s="2" t="s">
        <v>45</v>
      </c>
    </row>
    <row r="38" spans="1:4" x14ac:dyDescent="0.3">
      <c r="A38" s="11">
        <v>46288.90525462963</v>
      </c>
      <c r="B38" t="s">
        <v>4</v>
      </c>
      <c r="C38" s="1">
        <v>20000</v>
      </c>
      <c r="D38" s="2" t="s">
        <v>40</v>
      </c>
    </row>
    <row r="39" spans="1:4" x14ac:dyDescent="0.3">
      <c r="A39" s="11">
        <v>46288.902280092596</v>
      </c>
      <c r="B39" s="2" t="s">
        <v>43</v>
      </c>
      <c r="C39" s="1">
        <v>1000000</v>
      </c>
      <c r="D39" s="2" t="s">
        <v>46</v>
      </c>
    </row>
    <row r="40" spans="1:4" x14ac:dyDescent="0.3">
      <c r="A40" s="11">
        <v>46288.897800925923</v>
      </c>
      <c r="B40" s="2" t="s">
        <v>43</v>
      </c>
      <c r="C40" s="1">
        <v>1000000</v>
      </c>
      <c r="D40" s="2" t="s">
        <v>47</v>
      </c>
    </row>
    <row r="41" spans="1:4" x14ac:dyDescent="0.3">
      <c r="A41" s="11">
        <v>46288.897256944445</v>
      </c>
      <c r="B41" t="s">
        <v>4</v>
      </c>
      <c r="C41" s="1">
        <v>22000</v>
      </c>
      <c r="D41" s="2" t="s">
        <v>48</v>
      </c>
    </row>
    <row r="42" spans="1:4" x14ac:dyDescent="0.3">
      <c r="A42" s="11">
        <v>46288.893888888888</v>
      </c>
      <c r="B42" t="s">
        <v>4</v>
      </c>
      <c r="C42" s="1">
        <v>9000</v>
      </c>
      <c r="D42" s="2" t="s">
        <v>49</v>
      </c>
    </row>
    <row r="43" spans="1:4" x14ac:dyDescent="0.3">
      <c r="A43" s="11">
        <v>46288.892870370371</v>
      </c>
      <c r="B43" t="s">
        <v>50</v>
      </c>
      <c r="C43" s="1">
        <v>22000</v>
      </c>
      <c r="D43" s="2" t="s">
        <v>51</v>
      </c>
    </row>
    <row r="44" spans="1:4" x14ac:dyDescent="0.3">
      <c r="A44" s="11">
        <v>46288.888599537036</v>
      </c>
      <c r="B44" t="s">
        <v>4</v>
      </c>
      <c r="C44" s="1">
        <v>14100</v>
      </c>
      <c r="D44" s="2" t="s">
        <v>29</v>
      </c>
    </row>
    <row r="45" spans="1:4" x14ac:dyDescent="0.3">
      <c r="A45" s="11">
        <v>46288.88690972222</v>
      </c>
      <c r="B45" t="s">
        <v>4</v>
      </c>
      <c r="C45" s="1">
        <v>10000</v>
      </c>
      <c r="D45" s="2" t="s">
        <v>5</v>
      </c>
    </row>
    <row r="46" spans="1:4" x14ac:dyDescent="0.3">
      <c r="A46" s="11">
        <v>46288.87709490741</v>
      </c>
      <c r="B46" t="s">
        <v>52</v>
      </c>
      <c r="C46" s="1">
        <v>15100</v>
      </c>
      <c r="D46" s="2" t="s">
        <v>53</v>
      </c>
    </row>
    <row r="47" spans="1:4" x14ac:dyDescent="0.3">
      <c r="A47" s="11">
        <v>46288.870358796295</v>
      </c>
      <c r="B47" t="s">
        <v>4</v>
      </c>
      <c r="C47" s="1">
        <v>10000</v>
      </c>
      <c r="D47" s="2" t="s">
        <v>28</v>
      </c>
    </row>
    <row r="48" spans="1:4" x14ac:dyDescent="0.3">
      <c r="A48" s="11">
        <v>46288.87023148148</v>
      </c>
      <c r="B48" s="2" t="s">
        <v>43</v>
      </c>
      <c r="C48" s="1">
        <v>1000000</v>
      </c>
      <c r="D48" s="2" t="s">
        <v>54</v>
      </c>
    </row>
    <row r="49" spans="1:4" x14ac:dyDescent="0.3">
      <c r="A49" s="11">
        <v>46288.870104166665</v>
      </c>
      <c r="B49" s="2" t="s">
        <v>43</v>
      </c>
      <c r="C49" s="1">
        <v>1000000</v>
      </c>
      <c r="D49" s="2" t="s">
        <v>55</v>
      </c>
    </row>
    <row r="50" spans="1:4" x14ac:dyDescent="0.3">
      <c r="A50" s="11">
        <v>46288.869398148148</v>
      </c>
      <c r="B50" s="2" t="s">
        <v>43</v>
      </c>
      <c r="C50" s="1">
        <v>1000000</v>
      </c>
      <c r="D50" s="2" t="s">
        <v>56</v>
      </c>
    </row>
    <row r="51" spans="1:4" x14ac:dyDescent="0.3">
      <c r="A51" s="11">
        <v>46288.869363425925</v>
      </c>
      <c r="B51" t="s">
        <v>20</v>
      </c>
      <c r="C51" s="1">
        <v>10000</v>
      </c>
      <c r="D51" s="2" t="s">
        <v>21</v>
      </c>
    </row>
    <row r="52" spans="1:4" x14ac:dyDescent="0.3">
      <c r="A52" s="11">
        <v>46288.867766203701</v>
      </c>
      <c r="B52" t="s">
        <v>4</v>
      </c>
      <c r="C52" s="1">
        <v>11900</v>
      </c>
      <c r="D52" s="2" t="s">
        <v>27</v>
      </c>
    </row>
    <row r="53" spans="1:4" x14ac:dyDescent="0.3">
      <c r="A53" s="11">
        <v>46288.867395833331</v>
      </c>
      <c r="B53" t="s">
        <v>52</v>
      </c>
      <c r="C53" s="1">
        <v>10000</v>
      </c>
      <c r="D53" s="2" t="s">
        <v>57</v>
      </c>
    </row>
    <row r="54" spans="1:4" x14ac:dyDescent="0.3">
      <c r="A54" s="11">
        <v>46288.845694444448</v>
      </c>
      <c r="B54" t="s">
        <v>4</v>
      </c>
      <c r="C54" s="1">
        <v>14100</v>
      </c>
      <c r="D54" s="2" t="s">
        <v>29</v>
      </c>
    </row>
    <row r="55" spans="1:4" x14ac:dyDescent="0.3">
      <c r="A55" s="11">
        <v>46288.843194444446</v>
      </c>
      <c r="B55" t="s">
        <v>4</v>
      </c>
      <c r="C55" s="1">
        <v>14100</v>
      </c>
      <c r="D55" s="2" t="s">
        <v>29</v>
      </c>
    </row>
    <row r="56" spans="1:4" x14ac:dyDescent="0.3">
      <c r="A56" s="11">
        <v>46288.838148148148</v>
      </c>
      <c r="B56" t="s">
        <v>58</v>
      </c>
      <c r="C56" s="1">
        <v>15100</v>
      </c>
      <c r="D56" s="2" t="s">
        <v>59</v>
      </c>
    </row>
    <row r="57" spans="1:4" x14ac:dyDescent="0.3">
      <c r="A57" s="11">
        <v>46288.838090277779</v>
      </c>
      <c r="B57" t="s">
        <v>50</v>
      </c>
      <c r="C57" s="1">
        <v>70000</v>
      </c>
      <c r="D57" s="2" t="s">
        <v>60</v>
      </c>
    </row>
    <row r="58" spans="1:4" x14ac:dyDescent="0.3">
      <c r="A58" s="11">
        <v>46288.837326388886</v>
      </c>
      <c r="B58" t="s">
        <v>52</v>
      </c>
      <c r="C58" s="1">
        <v>14100</v>
      </c>
      <c r="D58" s="2" t="s">
        <v>61</v>
      </c>
    </row>
    <row r="59" spans="1:4" x14ac:dyDescent="0.3">
      <c r="A59" s="11">
        <v>46288.836898148147</v>
      </c>
      <c r="B59" t="s">
        <v>4</v>
      </c>
      <c r="C59" s="1">
        <v>14100</v>
      </c>
      <c r="D59" s="2" t="s">
        <v>29</v>
      </c>
    </row>
    <row r="60" spans="1:4" x14ac:dyDescent="0.3">
      <c r="A60" s="11">
        <v>46288.835451388892</v>
      </c>
      <c r="B60" t="s">
        <v>58</v>
      </c>
      <c r="C60" s="1">
        <v>10000</v>
      </c>
      <c r="D60" s="2" t="s">
        <v>62</v>
      </c>
    </row>
    <row r="61" spans="1:4" x14ac:dyDescent="0.3">
      <c r="A61" s="11">
        <v>46288.834224537037</v>
      </c>
      <c r="B61" t="s">
        <v>58</v>
      </c>
      <c r="C61" s="1">
        <v>15100</v>
      </c>
      <c r="D61" s="2" t="s">
        <v>63</v>
      </c>
    </row>
    <row r="62" spans="1:4" x14ac:dyDescent="0.3">
      <c r="A62" s="11">
        <v>46288.824548611112</v>
      </c>
      <c r="B62" t="s">
        <v>64</v>
      </c>
      <c r="C62" s="1">
        <v>14100</v>
      </c>
      <c r="D62" s="2" t="s">
        <v>65</v>
      </c>
    </row>
    <row r="63" spans="1:4" x14ac:dyDescent="0.3">
      <c r="A63" s="11">
        <v>46288.821180555555</v>
      </c>
      <c r="B63" t="s">
        <v>37</v>
      </c>
      <c r="C63" s="1">
        <v>10000</v>
      </c>
      <c r="D63" s="2" t="s">
        <v>66</v>
      </c>
    </row>
    <row r="64" spans="1:4" x14ac:dyDescent="0.3">
      <c r="A64" s="11">
        <v>46288.818356481483</v>
      </c>
      <c r="B64" t="s">
        <v>4</v>
      </c>
      <c r="C64" s="1">
        <v>9000</v>
      </c>
      <c r="D64" s="2" t="s">
        <v>49</v>
      </c>
    </row>
    <row r="65" spans="1:4" x14ac:dyDescent="0.3">
      <c r="A65" s="11">
        <v>46288.818032407406</v>
      </c>
      <c r="B65" t="s">
        <v>4</v>
      </c>
      <c r="C65" s="1">
        <v>9000</v>
      </c>
      <c r="D65" s="2" t="s">
        <v>67</v>
      </c>
    </row>
    <row r="66" spans="1:4" x14ac:dyDescent="0.3">
      <c r="A66" s="11">
        <v>46288.811597222222</v>
      </c>
      <c r="B66" t="s">
        <v>4</v>
      </c>
      <c r="C66" s="1">
        <v>10000</v>
      </c>
      <c r="D66" s="2" t="s">
        <v>28</v>
      </c>
    </row>
    <row r="67" spans="1:4" x14ac:dyDescent="0.3">
      <c r="A67" s="11">
        <v>46288.810740740744</v>
      </c>
      <c r="B67" t="s">
        <v>4</v>
      </c>
      <c r="C67" s="1">
        <v>10000</v>
      </c>
      <c r="D67" s="2" t="s">
        <v>28</v>
      </c>
    </row>
    <row r="68" spans="1:4" x14ac:dyDescent="0.3">
      <c r="A68" s="11">
        <v>46288.806620370371</v>
      </c>
      <c r="B68" s="3" t="s">
        <v>68</v>
      </c>
      <c r="C68" s="1">
        <v>14100</v>
      </c>
      <c r="D68" s="2" t="s">
        <v>69</v>
      </c>
    </row>
    <row r="69" spans="1:4" x14ac:dyDescent="0.3">
      <c r="A69" s="11">
        <v>46288.802708333336</v>
      </c>
      <c r="B69" s="3" t="s">
        <v>68</v>
      </c>
      <c r="C69" s="1">
        <v>14100</v>
      </c>
      <c r="D69" s="2" t="s">
        <v>70</v>
      </c>
    </row>
    <row r="70" spans="1:4" x14ac:dyDescent="0.3">
      <c r="A70" s="11">
        <v>46288.771597222221</v>
      </c>
      <c r="B70" t="s">
        <v>4</v>
      </c>
      <c r="C70" s="1">
        <v>26000</v>
      </c>
      <c r="D70" s="2" t="s">
        <v>71</v>
      </c>
    </row>
    <row r="71" spans="1:4" x14ac:dyDescent="0.3">
      <c r="A71" s="11">
        <v>46288.762337962966</v>
      </c>
      <c r="B71" t="s">
        <v>4</v>
      </c>
      <c r="C71" s="1">
        <v>11900</v>
      </c>
      <c r="D71" s="2" t="s">
        <v>72</v>
      </c>
    </row>
    <row r="72" spans="1:4" x14ac:dyDescent="0.3">
      <c r="A72" s="11">
        <v>46288.761458333334</v>
      </c>
      <c r="B72" t="s">
        <v>4</v>
      </c>
      <c r="C72" s="1">
        <v>11900</v>
      </c>
      <c r="D72" s="2" t="s">
        <v>27</v>
      </c>
    </row>
    <row r="73" spans="1:4" x14ac:dyDescent="0.3">
      <c r="A73" s="11">
        <v>46288.754166666666</v>
      </c>
      <c r="B73" t="s">
        <v>4</v>
      </c>
      <c r="C73" s="1">
        <v>11900</v>
      </c>
      <c r="D73" s="2" t="s">
        <v>27</v>
      </c>
    </row>
    <row r="74" spans="1:4" x14ac:dyDescent="0.3">
      <c r="A74" s="11">
        <v>46288.753831018519</v>
      </c>
      <c r="B74" t="s">
        <v>4</v>
      </c>
      <c r="C74" s="1">
        <v>10000</v>
      </c>
      <c r="D74" s="2" t="s">
        <v>28</v>
      </c>
    </row>
    <row r="75" spans="1:4" x14ac:dyDescent="0.3">
      <c r="A75" s="11">
        <v>46288.753437500003</v>
      </c>
      <c r="B75" t="s">
        <v>73</v>
      </c>
      <c r="C75" s="1">
        <v>20000</v>
      </c>
      <c r="D75" s="2" t="s">
        <v>74</v>
      </c>
    </row>
    <row r="76" spans="1:4" x14ac:dyDescent="0.3">
      <c r="A76" s="11">
        <v>46288.748969907407</v>
      </c>
      <c r="B76" t="s">
        <v>4</v>
      </c>
      <c r="C76" s="1">
        <v>10000</v>
      </c>
      <c r="D76" s="2" t="s">
        <v>28</v>
      </c>
    </row>
    <row r="77" spans="1:4" x14ac:dyDescent="0.3">
      <c r="A77" s="11">
        <v>46288.744560185187</v>
      </c>
      <c r="B77" s="3" t="s">
        <v>68</v>
      </c>
      <c r="C77" s="1">
        <v>18000</v>
      </c>
      <c r="D77" s="2" t="s">
        <v>75</v>
      </c>
    </row>
    <row r="78" spans="1:4" ht="17.25" thickBot="1" x14ac:dyDescent="0.35">
      <c r="A78" s="11">
        <v>46288.74255787037</v>
      </c>
      <c r="B78" t="s">
        <v>4</v>
      </c>
      <c r="C78" s="1">
        <v>20000</v>
      </c>
      <c r="D78" s="2" t="s">
        <v>76</v>
      </c>
    </row>
    <row r="79" spans="1:4" ht="18" thickTop="1" thickBot="1" x14ac:dyDescent="0.35">
      <c r="B79" s="4" t="s">
        <v>77</v>
      </c>
      <c r="C79" s="5">
        <f>SUM(C2:C78)</f>
        <v>11285600</v>
      </c>
    </row>
    <row r="80" spans="1:4" ht="17.25" thickTop="1" x14ac:dyDescent="0.3"/>
    <row r="81" spans="1:3" x14ac:dyDescent="0.3">
      <c r="A81" s="6" t="s">
        <v>78</v>
      </c>
      <c r="B81" s="6" t="s">
        <v>79</v>
      </c>
      <c r="C81" s="6" t="s">
        <v>80</v>
      </c>
    </row>
    <row r="82" spans="1:3" x14ac:dyDescent="0.3">
      <c r="A82" s="9" t="s">
        <v>82</v>
      </c>
      <c r="B82" s="8" t="s">
        <v>81</v>
      </c>
      <c r="C82" s="7">
        <v>23000</v>
      </c>
    </row>
    <row r="83" spans="1:3" x14ac:dyDescent="0.3">
      <c r="A83" s="9" t="s">
        <v>86</v>
      </c>
      <c r="B83" s="8" t="s">
        <v>85</v>
      </c>
      <c r="C83" s="7">
        <v>14100</v>
      </c>
    </row>
    <row r="84" spans="1:3" x14ac:dyDescent="0.3">
      <c r="A84" s="9" t="s">
        <v>84</v>
      </c>
      <c r="B84" s="8" t="s">
        <v>83</v>
      </c>
      <c r="C84" s="7">
        <v>14100</v>
      </c>
    </row>
    <row r="85" spans="1:3" x14ac:dyDescent="0.3">
      <c r="A85" s="9" t="s">
        <v>92</v>
      </c>
      <c r="B85" s="8" t="s">
        <v>91</v>
      </c>
      <c r="C85" s="7">
        <v>14100</v>
      </c>
    </row>
    <row r="86" spans="1:3" x14ac:dyDescent="0.3">
      <c r="A86" s="9" t="s">
        <v>90</v>
      </c>
      <c r="B86" s="8" t="s">
        <v>89</v>
      </c>
      <c r="C86" s="7">
        <v>69000</v>
      </c>
    </row>
    <row r="87" spans="1:3" x14ac:dyDescent="0.3">
      <c r="A87" s="9" t="s">
        <v>88</v>
      </c>
      <c r="B87" s="8" t="s">
        <v>87</v>
      </c>
      <c r="C87" s="7">
        <v>14100</v>
      </c>
    </row>
    <row r="88" spans="1:3" x14ac:dyDescent="0.3">
      <c r="A88" s="9" t="s">
        <v>94</v>
      </c>
      <c r="B88" s="8" t="s">
        <v>93</v>
      </c>
      <c r="C88" s="7">
        <v>15100</v>
      </c>
    </row>
    <row r="89" spans="1:3" x14ac:dyDescent="0.3">
      <c r="A89" s="9" t="s">
        <v>96</v>
      </c>
      <c r="B89" s="8" t="s">
        <v>93</v>
      </c>
      <c r="C89" s="7">
        <v>15100</v>
      </c>
    </row>
    <row r="90" spans="1:3" x14ac:dyDescent="0.3">
      <c r="A90" s="9" t="s">
        <v>95</v>
      </c>
      <c r="B90" s="8" t="s">
        <v>89</v>
      </c>
      <c r="C90" s="7">
        <v>100000</v>
      </c>
    </row>
    <row r="91" spans="1:3" x14ac:dyDescent="0.3">
      <c r="A91" s="9" t="s">
        <v>98</v>
      </c>
      <c r="B91" s="8" t="s">
        <v>97</v>
      </c>
      <c r="C91" s="7">
        <v>22000</v>
      </c>
    </row>
    <row r="92" spans="1:3" x14ac:dyDescent="0.3">
      <c r="A92" s="9" t="s">
        <v>99</v>
      </c>
      <c r="B92" s="8" t="s">
        <v>4</v>
      </c>
      <c r="C92" s="7">
        <v>100000</v>
      </c>
    </row>
    <row r="93" spans="1:3" x14ac:dyDescent="0.3">
      <c r="A93" s="9" t="s">
        <v>103</v>
      </c>
      <c r="B93" s="8" t="s">
        <v>89</v>
      </c>
      <c r="C93" s="7">
        <v>15100</v>
      </c>
    </row>
    <row r="94" spans="1:3" x14ac:dyDescent="0.3">
      <c r="A94" s="9" t="s">
        <v>102</v>
      </c>
      <c r="B94" s="8" t="s">
        <v>89</v>
      </c>
      <c r="C94" s="7">
        <v>15100</v>
      </c>
    </row>
    <row r="95" spans="1:3" x14ac:dyDescent="0.3">
      <c r="A95" s="9" t="s">
        <v>101</v>
      </c>
      <c r="B95" s="8" t="s">
        <v>85</v>
      </c>
      <c r="C95" s="7">
        <v>15100</v>
      </c>
    </row>
    <row r="96" spans="1:3" x14ac:dyDescent="0.3">
      <c r="A96" s="9" t="s">
        <v>100</v>
      </c>
      <c r="B96" s="8" t="s">
        <v>85</v>
      </c>
      <c r="C96" s="7">
        <v>15100</v>
      </c>
    </row>
    <row r="97" spans="1:9" ht="17.25" thickBot="1" x14ac:dyDescent="0.35">
      <c r="A97" s="9" t="s">
        <v>104</v>
      </c>
      <c r="B97" s="8" t="s">
        <v>89</v>
      </c>
      <c r="C97" s="7">
        <v>55000</v>
      </c>
    </row>
    <row r="98" spans="1:9" ht="18" thickTop="1" thickBot="1" x14ac:dyDescent="0.35">
      <c r="B98" s="4" t="s">
        <v>105</v>
      </c>
      <c r="C98" s="5">
        <f>SUM(C82:C97)</f>
        <v>516000</v>
      </c>
    </row>
    <row r="99" spans="1:9" ht="18" thickTop="1" thickBot="1" x14ac:dyDescent="0.35"/>
    <row r="100" spans="1:9" ht="18" thickTop="1" thickBot="1" x14ac:dyDescent="0.35">
      <c r="A100" s="13" t="s">
        <v>106</v>
      </c>
      <c r="B100" s="14">
        <f>C98</f>
        <v>516000</v>
      </c>
      <c r="C100" s="15" t="s">
        <v>107</v>
      </c>
      <c r="D100" s="16">
        <f>B100*10%</f>
        <v>51600</v>
      </c>
      <c r="E100" s="17"/>
      <c r="F100" s="18"/>
      <c r="G100" s="19" t="s">
        <v>108</v>
      </c>
      <c r="H100" s="20">
        <f>(B100-D100)*80%</f>
        <v>371520</v>
      </c>
    </row>
    <row r="101" spans="1:9" ht="18" thickTop="1" thickBot="1" x14ac:dyDescent="0.35">
      <c r="A101" s="13" t="s">
        <v>109</v>
      </c>
      <c r="B101" s="14">
        <f>C79</f>
        <v>11285600</v>
      </c>
      <c r="C101" s="15" t="s">
        <v>110</v>
      </c>
      <c r="D101" s="16">
        <f>B101*10%</f>
        <v>1128560</v>
      </c>
      <c r="E101" s="21" t="s">
        <v>107</v>
      </c>
      <c r="F101" s="22">
        <f>B101*10%</f>
        <v>1128560</v>
      </c>
      <c r="G101" s="19" t="s">
        <v>108</v>
      </c>
      <c r="H101" s="20">
        <f>(B101-D101-F101)*80%</f>
        <v>7222784</v>
      </c>
    </row>
    <row r="102" spans="1:9" ht="17.25" thickBot="1" x14ac:dyDescent="0.35">
      <c r="C102" s="1"/>
      <c r="E102" s="1"/>
    </row>
    <row r="103" spans="1:9" ht="18" thickTop="1" thickBot="1" x14ac:dyDescent="0.35">
      <c r="A103" s="23" t="s">
        <v>111</v>
      </c>
      <c r="B103" s="24">
        <f>H100+H101</f>
        <v>7594304</v>
      </c>
      <c r="C103" s="23" t="s">
        <v>112</v>
      </c>
      <c r="D103" s="25">
        <f>D104+D105</f>
        <v>250600</v>
      </c>
      <c r="E103" s="26" t="s">
        <v>113</v>
      </c>
      <c r="F103" s="27">
        <f>B103-D103</f>
        <v>7343704</v>
      </c>
      <c r="G103" s="28"/>
      <c r="H103" s="28"/>
      <c r="I103" s="29"/>
    </row>
    <row r="104" spans="1:9" ht="17.25" thickTop="1" x14ac:dyDescent="0.3">
      <c r="C104" s="30" t="s">
        <v>114</v>
      </c>
      <c r="D104" s="30">
        <f>ROUNDDOWN((B103*3%),-1)</f>
        <v>227820</v>
      </c>
      <c r="E104" s="1"/>
    </row>
    <row r="105" spans="1:9" x14ac:dyDescent="0.3">
      <c r="C105" s="30" t="s">
        <v>115</v>
      </c>
      <c r="D105" s="30">
        <f>ROUNDDOWN((D104*10%),-1)</f>
        <v>22780</v>
      </c>
    </row>
    <row r="106" spans="1:9" x14ac:dyDescent="0.3">
      <c r="A106"/>
      <c r="C10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2026-09-27T11:21:15Z</dcterms:created>
  <dcterms:modified xsi:type="dcterms:W3CDTF">2026-09-27T11:41:42Z</dcterms:modified>
</cp:coreProperties>
</file>