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개인 정산 내역서\자키\신상류사회4화\"/>
    </mc:Choice>
  </mc:AlternateContent>
  <xr:revisionPtr revIDLastSave="0" documentId="8_{BB516DD7-A001-4C25-9344-4CD9C26A95CE}" xr6:coauthVersionLast="47" xr6:coauthVersionMax="47" xr10:uidLastSave="{00000000-0000-0000-0000-000000000000}"/>
  <bookViews>
    <workbookView xWindow="59835" yWindow="540" windowWidth="16800" windowHeight="20130" xr2:uid="{D5EE6BB8-0EE5-43B5-B0DF-609499511B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6" i="1" l="1"/>
  <c r="B75" i="1"/>
  <c r="C73" i="1"/>
  <c r="C52" i="1"/>
  <c r="H75" i="1" l="1"/>
  <c r="D75" i="1"/>
  <c r="D76" i="1"/>
  <c r="F76" i="1"/>
  <c r="H76" i="1" l="1"/>
  <c r="B78" i="1" s="1"/>
  <c r="D79" i="1" l="1"/>
  <c r="D80" i="1" l="1"/>
  <c r="D78" i="1"/>
  <c r="F78" i="1" s="1"/>
</calcChain>
</file>

<file path=xl/sharedStrings.xml><?xml version="1.0" encoding="utf-8"?>
<sst xmlns="http://schemas.openxmlformats.org/spreadsheetml/2006/main" count="157" uniqueCount="111">
  <si>
    <t>Time</t>
  </si>
  <si>
    <t xml:space="preserve"> Name</t>
  </si>
  <si>
    <t xml:space="preserve"> Amount</t>
  </si>
  <si>
    <t xml:space="preserve"> Message</t>
  </si>
  <si>
    <t>실물깡패오하린</t>
  </si>
  <si>
    <t xml:space="preserve">New제로투 - 나도 오래살게 욕해봐 </t>
  </si>
  <si>
    <t>New제로투 - 자진모리함?</t>
  </si>
  <si>
    <t>Dark Side - 뭐했는지 몰겠지만 ㅅㄱ</t>
  </si>
  <si>
    <t>신호탄 - 자키- 하린잘했나요 ? 하또챙기느라 고생했어요</t>
  </si>
  <si>
    <t>자키집고양이</t>
  </si>
  <si>
    <t>Dark Side - 오하린 항상 유니버스를 지키는 플레이어 많관부</t>
  </si>
  <si>
    <t>서도환</t>
  </si>
  <si>
    <t>활어 - 오하린 힘내고</t>
  </si>
  <si>
    <t>리오</t>
  </si>
  <si>
    <t xml:space="preserve">사마귀 - </t>
  </si>
  <si>
    <t>호야</t>
  </si>
  <si>
    <t>활어 - 오하린</t>
  </si>
  <si>
    <t xml:space="preserve">드라군 - </t>
  </si>
  <si>
    <t>Rui Yulmu</t>
  </si>
  <si>
    <t>BAD - 오산</t>
  </si>
  <si>
    <t>드라군 - 오라군</t>
  </si>
  <si>
    <t>활어 - 하린</t>
  </si>
  <si>
    <t>크리스</t>
  </si>
  <si>
    <t xml:space="preserve">하린이 와사비 </t>
  </si>
  <si>
    <t>하린이 와사비</t>
  </si>
  <si>
    <t>하린이와사비</t>
  </si>
  <si>
    <t>New제로투 - 하린 월클하루부장에게 한마디</t>
  </si>
  <si>
    <t>나머행</t>
  </si>
  <si>
    <t>먹어 - 하린님 일단 푸룬주스 드셔보세요</t>
  </si>
  <si>
    <t>심뽀</t>
  </si>
  <si>
    <t>New제로투 - 욕로투는 하린이죠</t>
  </si>
  <si>
    <t>먹어 - 하린 원하는거 먹어</t>
  </si>
  <si>
    <t>자키집쓰볼탱69</t>
  </si>
  <si>
    <t xml:space="preserve">하린이도 홍어 묵자 이거야 </t>
  </si>
  <si>
    <t>Dk서현가자</t>
  </si>
  <si>
    <t>Dark Side - 하린 화이팅. 난술먹으러간당</t>
  </si>
  <si>
    <t>쿠로</t>
  </si>
  <si>
    <t>Dark Side - 오하린 땅부자는 물건너갔다</t>
  </si>
  <si>
    <t>설향</t>
  </si>
  <si>
    <t>팀분들도 하나씩</t>
  </si>
  <si>
    <t>호텔파티 - 하린</t>
  </si>
  <si>
    <t>여우 - 하린</t>
  </si>
  <si>
    <t>루니솔라 - 하린</t>
  </si>
  <si>
    <t>홀리몰리 - 하린</t>
  </si>
  <si>
    <t>흡연화장실 - 하린</t>
  </si>
  <si>
    <t>흡연화장실 - 오하린</t>
  </si>
  <si>
    <t>오하린 고추한입 하자</t>
  </si>
  <si>
    <t>오하린 고추한입 ㄱㄱㄱ</t>
  </si>
  <si>
    <t>지지</t>
  </si>
  <si>
    <t>먹지마 - 오하린바보</t>
  </si>
  <si>
    <t>먹지마 - 오하린 쉴드</t>
  </si>
  <si>
    <t>오하린 땅</t>
  </si>
  <si>
    <t>오하린 화장지워</t>
  </si>
  <si>
    <t>드라군 - 오라군보여주자</t>
  </si>
  <si>
    <t>Everytime We Touch - 하린</t>
  </si>
  <si>
    <t>배찌</t>
  </si>
  <si>
    <t>모시모시 - 하린언니 파이팅🩷🩷</t>
  </si>
  <si>
    <t xml:space="preserve">Dark </t>
  </si>
  <si>
    <t>New제로투 - Harin</t>
  </si>
  <si>
    <t>활어 - 난 한놈만 패기때문에 탐색좀 할게 오하린컴온</t>
  </si>
  <si>
    <t>류도현</t>
  </si>
  <si>
    <t>배드빌런 - 튼튼한 하린이 보여주자</t>
  </si>
  <si>
    <t>New제로투 - 튼튼한 하린이 보여주자</t>
  </si>
  <si>
    <t>New제로투 - 튼튼한 하린이</t>
  </si>
  <si>
    <t>투네이션 합계</t>
    <phoneticPr fontId="2" type="noConversion"/>
  </si>
  <si>
    <t>거래일시</t>
  </si>
  <si>
    <t>적요내용</t>
  </si>
  <si>
    <t>입금금액</t>
  </si>
  <si>
    <t>단비윤 하린언니</t>
  </si>
  <si>
    <t>2026.09.23 23:40:20</t>
  </si>
  <si>
    <t>단비윤 하린언니 먹</t>
  </si>
  <si>
    <t>2026.09.23 22:15:43</t>
  </si>
  <si>
    <t>단비윤 오라군</t>
  </si>
  <si>
    <t>2026.09.23 22:17:34</t>
  </si>
  <si>
    <t>2026.09.23 21:31:51</t>
  </si>
  <si>
    <t>2026.09.23 21:46:00</t>
  </si>
  <si>
    <t>단비윤 하린언니 캐</t>
  </si>
  <si>
    <t>2026.09.23 21:14:20</t>
  </si>
  <si>
    <t>2026.09.23 21:17:55</t>
  </si>
  <si>
    <t>2026.09.23 21:20:51</t>
  </si>
  <si>
    <t>단비윤 하린언니 제</t>
  </si>
  <si>
    <t>2026.09.23 21:26:17</t>
  </si>
  <si>
    <t>단비윤 오하린</t>
  </si>
  <si>
    <t>2026.09.23 20:23:53</t>
  </si>
  <si>
    <t>단비윤 푸른주스 마</t>
  </si>
  <si>
    <t>2026.09.23 20:51:39</t>
  </si>
  <si>
    <t>단비윤 오하린 핑크</t>
  </si>
  <si>
    <t>2026.09.23 20:09:26</t>
  </si>
  <si>
    <t>익명/오하린</t>
  </si>
  <si>
    <t>2026.09.23 19:43:39</t>
  </si>
  <si>
    <t>익명 오하린</t>
  </si>
  <si>
    <t>2026.09.23 19:51:02</t>
  </si>
  <si>
    <t>단비윤 오하린 살아</t>
  </si>
  <si>
    <t>2026.09.23 18:30:17</t>
  </si>
  <si>
    <t>단비윤 오하린 먹어</t>
  </si>
  <si>
    <t>2026.09.23 17:53:04</t>
  </si>
  <si>
    <t>잉-하린 이뿌다</t>
  </si>
  <si>
    <t>2026.09.23 17:56:23</t>
  </si>
  <si>
    <t>단비윤 오하린 파라</t>
  </si>
  <si>
    <t>2026.09.23 17:52:13</t>
  </si>
  <si>
    <t>계좌합계</t>
    <phoneticPr fontId="2" type="noConversion"/>
  </si>
  <si>
    <t>계좌 후원 금액</t>
    <phoneticPr fontId="2" type="noConversion"/>
  </si>
  <si>
    <t>부가세</t>
    <phoneticPr fontId="2" type="noConversion"/>
  </si>
  <si>
    <t>정산금 80%</t>
    <phoneticPr fontId="2" type="noConversion"/>
  </si>
  <si>
    <t>투네이션 후원 금액</t>
    <phoneticPr fontId="2" type="noConversion"/>
  </si>
  <si>
    <t>수수료</t>
    <phoneticPr fontId="2" type="noConversion"/>
  </si>
  <si>
    <t>정산금 총 합계</t>
    <phoneticPr fontId="2" type="noConversion"/>
  </si>
  <si>
    <t>원천세</t>
    <phoneticPr fontId="2" type="noConversion"/>
  </si>
  <si>
    <t>실지급액</t>
    <phoneticPr fontId="2" type="noConversion"/>
  </si>
  <si>
    <t>소득세</t>
    <phoneticPr fontId="2" type="noConversion"/>
  </si>
  <si>
    <t>지방소득세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</si>
</sst>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theme="4"/>
      <name val="맑은 고딕"/>
      <family val="3"/>
      <charset val="129"/>
      <scheme val="minor"/>
    </font>
    <font>
      <b/>
      <sz val="11"/>
      <name val="Calibri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3" fillId="0" borderId="1" xfId="0" applyFont="1" applyBorder="1">
      <alignment vertical="center"/>
    </xf>
    <xf numFmtId="41" fontId="4" fillId="0" borderId="2" xfId="1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>
      <alignment vertical="center"/>
    </xf>
    <xf numFmtId="41" fontId="0" fillId="0" borderId="8" xfId="1" applyFont="1" applyBorder="1">
      <alignment vertical="center"/>
    </xf>
    <xf numFmtId="41" fontId="0" fillId="0" borderId="9" xfId="1" applyFont="1" applyBorder="1">
      <alignment vertical="center"/>
    </xf>
    <xf numFmtId="41" fontId="0" fillId="0" borderId="10" xfId="1" applyFont="1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1" xfId="1" applyFont="1" applyBorder="1" applyAlignment="1">
      <alignment horizontal="center" vertical="center"/>
    </xf>
    <xf numFmtId="41" fontId="0" fillId="0" borderId="12" xfId="1" applyFont="1" applyBorder="1">
      <alignment vertical="center"/>
    </xf>
    <xf numFmtId="41" fontId="6" fillId="5" borderId="13" xfId="1" applyFont="1" applyFill="1" applyBorder="1" applyAlignment="1">
      <alignment horizontal="center" vertical="center"/>
    </xf>
    <xf numFmtId="41" fontId="6" fillId="5" borderId="2" xfId="1" applyFont="1" applyFill="1" applyBorder="1" applyAlignment="1">
      <alignment horizontal="center" vertical="center"/>
    </xf>
    <xf numFmtId="41" fontId="6" fillId="5" borderId="2" xfId="1" applyFont="1" applyFill="1" applyBorder="1">
      <alignment vertical="center"/>
    </xf>
    <xf numFmtId="41" fontId="7" fillId="5" borderId="13" xfId="1" applyFont="1" applyFill="1" applyBorder="1" applyAlignment="1">
      <alignment horizontal="center" vertical="center"/>
    </xf>
    <xf numFmtId="41" fontId="7" fillId="5" borderId="2" xfId="1" applyFont="1" applyFill="1" applyBorder="1">
      <alignment vertical="center"/>
    </xf>
    <xf numFmtId="41" fontId="6" fillId="5" borderId="0" xfId="1" applyFont="1" applyFill="1">
      <alignment vertical="center"/>
    </xf>
    <xf numFmtId="0" fontId="6" fillId="0" borderId="0" xfId="0" applyFont="1">
      <alignment vertical="center"/>
    </xf>
    <xf numFmtId="41" fontId="8" fillId="0" borderId="0" xfId="1" applyFont="1">
      <alignment vertical="center"/>
    </xf>
    <xf numFmtId="22" fontId="0" fillId="0" borderId="0" xfId="0" applyNumberForma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DFE7-185C-408C-9918-EE2EA61CC3E1}">
  <dimension ref="A1:I81"/>
  <sheetViews>
    <sheetView tabSelected="1" topLeftCell="A43" workbookViewId="0">
      <selection activeCell="E86" sqref="E86"/>
    </sheetView>
  </sheetViews>
  <sheetFormatPr defaultRowHeight="16.5" x14ac:dyDescent="0.3"/>
  <cols>
    <col min="1" max="1" width="20.25" style="2" bestFit="1" customWidth="1"/>
    <col min="2" max="2" width="18.625" bestFit="1" customWidth="1"/>
    <col min="3" max="9" width="13" customWidth="1"/>
  </cols>
  <sheetData>
    <row r="1" spans="1:4" s="2" customFormat="1" x14ac:dyDescent="0.3">
      <c r="A1" s="2" t="s">
        <v>0</v>
      </c>
      <c r="B1" s="2" t="s">
        <v>1</v>
      </c>
      <c r="C1" s="3" t="s">
        <v>2</v>
      </c>
      <c r="D1" s="2" t="s">
        <v>3</v>
      </c>
    </row>
    <row r="2" spans="1:4" x14ac:dyDescent="0.3">
      <c r="A2" s="32">
        <v>46289.021770833337</v>
      </c>
      <c r="B2" s="4" t="s">
        <v>4</v>
      </c>
      <c r="C2" s="1">
        <v>22000</v>
      </c>
      <c r="D2" s="5" t="s">
        <v>5</v>
      </c>
    </row>
    <row r="3" spans="1:4" x14ac:dyDescent="0.3">
      <c r="A3" s="32">
        <v>46289.021064814813</v>
      </c>
      <c r="B3" s="4" t="s">
        <v>4</v>
      </c>
      <c r="C3" s="1">
        <v>22000</v>
      </c>
      <c r="D3" s="5" t="s">
        <v>6</v>
      </c>
    </row>
    <row r="4" spans="1:4" x14ac:dyDescent="0.3">
      <c r="A4" s="32">
        <v>46289.017326388886</v>
      </c>
      <c r="B4" s="4" t="s">
        <v>4</v>
      </c>
      <c r="C4" s="1">
        <v>100000</v>
      </c>
      <c r="D4" s="5" t="s">
        <v>7</v>
      </c>
    </row>
    <row r="5" spans="1:4" x14ac:dyDescent="0.3">
      <c r="A5" s="32">
        <v>46289.015844907408</v>
      </c>
      <c r="B5" s="4" t="s">
        <v>4</v>
      </c>
      <c r="C5" s="1">
        <v>147000</v>
      </c>
      <c r="D5" s="4" t="s">
        <v>8</v>
      </c>
    </row>
    <row r="6" spans="1:4" x14ac:dyDescent="0.3">
      <c r="A6" s="32">
        <v>46288.995046296295</v>
      </c>
      <c r="B6" s="6" t="s">
        <v>9</v>
      </c>
      <c r="C6" s="1">
        <v>100000</v>
      </c>
      <c r="D6" s="4" t="s">
        <v>10</v>
      </c>
    </row>
    <row r="7" spans="1:4" x14ac:dyDescent="0.3">
      <c r="A7" s="32">
        <v>46288.967534722222</v>
      </c>
      <c r="B7" t="s">
        <v>11</v>
      </c>
      <c r="C7" s="1">
        <v>18000</v>
      </c>
      <c r="D7" s="4" t="s">
        <v>12</v>
      </c>
    </row>
    <row r="8" spans="1:4" x14ac:dyDescent="0.3">
      <c r="A8" s="32">
        <v>46288.961527777778</v>
      </c>
      <c r="B8" t="s">
        <v>13</v>
      </c>
      <c r="C8" s="1">
        <v>13000</v>
      </c>
      <c r="D8" s="5" t="s">
        <v>14</v>
      </c>
    </row>
    <row r="9" spans="1:4" x14ac:dyDescent="0.3">
      <c r="A9" s="32">
        <v>46288.961192129631</v>
      </c>
      <c r="B9" t="s">
        <v>15</v>
      </c>
      <c r="C9" s="1">
        <v>18000</v>
      </c>
      <c r="D9" s="4" t="s">
        <v>16</v>
      </c>
    </row>
    <row r="10" spans="1:4" x14ac:dyDescent="0.3">
      <c r="A10" s="32">
        <v>46288.961180555554</v>
      </c>
      <c r="B10" t="s">
        <v>15</v>
      </c>
      <c r="C10" s="1">
        <v>18000</v>
      </c>
      <c r="D10" s="4" t="s">
        <v>16</v>
      </c>
    </row>
    <row r="11" spans="1:4" x14ac:dyDescent="0.3">
      <c r="A11" s="32">
        <v>46288.961157407408</v>
      </c>
      <c r="B11" t="s">
        <v>15</v>
      </c>
      <c r="C11" s="1">
        <v>18000</v>
      </c>
      <c r="D11" s="4" t="s">
        <v>16</v>
      </c>
    </row>
    <row r="12" spans="1:4" x14ac:dyDescent="0.3">
      <c r="A12" s="32">
        <v>46288.961134259262</v>
      </c>
      <c r="B12" t="s">
        <v>15</v>
      </c>
      <c r="C12" s="1">
        <v>18000</v>
      </c>
      <c r="D12" s="4" t="s">
        <v>16</v>
      </c>
    </row>
    <row r="13" spans="1:4" x14ac:dyDescent="0.3">
      <c r="A13" s="32">
        <v>46288.961134259262</v>
      </c>
      <c r="B13" t="s">
        <v>13</v>
      </c>
      <c r="C13" s="1">
        <v>19000</v>
      </c>
      <c r="D13" s="5" t="s">
        <v>17</v>
      </c>
    </row>
    <row r="14" spans="1:4" x14ac:dyDescent="0.3">
      <c r="A14" s="32">
        <v>46288.961122685185</v>
      </c>
      <c r="B14" t="s">
        <v>15</v>
      </c>
      <c r="C14" s="1">
        <v>18000</v>
      </c>
      <c r="D14" s="4" t="s">
        <v>16</v>
      </c>
    </row>
    <row r="15" spans="1:4" x14ac:dyDescent="0.3">
      <c r="A15" s="32">
        <v>46288.961111111108</v>
      </c>
      <c r="B15" t="s">
        <v>13</v>
      </c>
      <c r="C15" s="1">
        <v>19000</v>
      </c>
      <c r="D15" s="5" t="s">
        <v>17</v>
      </c>
    </row>
    <row r="16" spans="1:4" x14ac:dyDescent="0.3">
      <c r="A16" s="32">
        <v>46288.931458333333</v>
      </c>
      <c r="B16" t="s">
        <v>18</v>
      </c>
      <c r="C16" s="1">
        <v>55000</v>
      </c>
      <c r="D16" s="5" t="s">
        <v>19</v>
      </c>
    </row>
    <row r="17" spans="1:4" x14ac:dyDescent="0.3">
      <c r="A17" s="32">
        <v>46288.928842592592</v>
      </c>
      <c r="B17" t="s">
        <v>18</v>
      </c>
      <c r="C17" s="1">
        <v>19000</v>
      </c>
      <c r="D17" s="5" t="s">
        <v>20</v>
      </c>
    </row>
    <row r="18" spans="1:4" x14ac:dyDescent="0.3">
      <c r="A18" s="32">
        <v>46288.926435185182</v>
      </c>
      <c r="B18" t="s">
        <v>18</v>
      </c>
      <c r="C18" s="1">
        <v>18000</v>
      </c>
      <c r="D18" s="4" t="s">
        <v>21</v>
      </c>
    </row>
    <row r="19" spans="1:4" x14ac:dyDescent="0.3">
      <c r="A19" s="32">
        <v>46288.925844907404</v>
      </c>
      <c r="B19" t="s">
        <v>22</v>
      </c>
      <c r="C19" s="1">
        <v>112800</v>
      </c>
      <c r="D19" s="4" t="s">
        <v>23</v>
      </c>
    </row>
    <row r="20" spans="1:4" x14ac:dyDescent="0.3">
      <c r="A20" s="32">
        <v>46288.921886574077</v>
      </c>
      <c r="B20" t="s">
        <v>22</v>
      </c>
      <c r="C20" s="1">
        <v>14100</v>
      </c>
      <c r="D20" s="4" t="s">
        <v>24</v>
      </c>
    </row>
    <row r="21" spans="1:4" x14ac:dyDescent="0.3">
      <c r="A21" s="32">
        <v>46288.921423611115</v>
      </c>
      <c r="B21" t="s">
        <v>22</v>
      </c>
      <c r="C21" s="1">
        <v>14000</v>
      </c>
      <c r="D21" s="4" t="s">
        <v>25</v>
      </c>
    </row>
    <row r="22" spans="1:4" x14ac:dyDescent="0.3">
      <c r="A22" s="32">
        <v>46288.897465277776</v>
      </c>
      <c r="B22" s="6" t="s">
        <v>9</v>
      </c>
      <c r="C22" s="1">
        <v>22000</v>
      </c>
      <c r="D22" s="5" t="s">
        <v>26</v>
      </c>
    </row>
    <row r="23" spans="1:4" x14ac:dyDescent="0.3">
      <c r="A23" s="32">
        <v>46288.894363425927</v>
      </c>
      <c r="B23" t="s">
        <v>27</v>
      </c>
      <c r="C23" s="1">
        <v>14100</v>
      </c>
      <c r="D23" s="4" t="s">
        <v>28</v>
      </c>
    </row>
    <row r="24" spans="1:4" x14ac:dyDescent="0.3">
      <c r="A24" s="32">
        <v>46288.893020833333</v>
      </c>
      <c r="B24" t="s">
        <v>29</v>
      </c>
      <c r="C24" s="1">
        <v>22000</v>
      </c>
      <c r="D24" s="4" t="s">
        <v>30</v>
      </c>
    </row>
    <row r="25" spans="1:4" x14ac:dyDescent="0.3">
      <c r="A25" s="32">
        <v>46288.887754629628</v>
      </c>
      <c r="B25" t="s">
        <v>18</v>
      </c>
      <c r="C25" s="1">
        <v>14100</v>
      </c>
      <c r="D25" s="4" t="s">
        <v>31</v>
      </c>
    </row>
    <row r="26" spans="1:4" x14ac:dyDescent="0.3">
      <c r="A26" s="32">
        <v>46288.844814814816</v>
      </c>
      <c r="B26" t="s">
        <v>18</v>
      </c>
      <c r="C26" s="1">
        <v>14100</v>
      </c>
      <c r="D26" s="4" t="s">
        <v>31</v>
      </c>
    </row>
    <row r="27" spans="1:4" x14ac:dyDescent="0.3">
      <c r="A27" s="32">
        <v>46288.839537037034</v>
      </c>
      <c r="B27" s="6" t="s">
        <v>32</v>
      </c>
      <c r="C27" s="1">
        <v>14100</v>
      </c>
      <c r="D27" s="4" t="s">
        <v>33</v>
      </c>
    </row>
    <row r="28" spans="1:4" x14ac:dyDescent="0.3">
      <c r="A28" s="32">
        <v>46288.839375000003</v>
      </c>
      <c r="B28" t="s">
        <v>34</v>
      </c>
      <c r="C28" s="1">
        <v>100000</v>
      </c>
      <c r="D28" s="4" t="s">
        <v>35</v>
      </c>
    </row>
    <row r="29" spans="1:4" x14ac:dyDescent="0.3">
      <c r="A29" s="32">
        <v>46288.837997685187</v>
      </c>
      <c r="B29" t="s">
        <v>36</v>
      </c>
      <c r="C29" s="1">
        <v>100000</v>
      </c>
      <c r="D29" s="4" t="s">
        <v>37</v>
      </c>
    </row>
    <row r="30" spans="1:4" x14ac:dyDescent="0.3">
      <c r="A30" s="32">
        <v>46288.835601851853</v>
      </c>
      <c r="B30" t="s">
        <v>38</v>
      </c>
      <c r="C30" s="1">
        <v>10000</v>
      </c>
      <c r="D30" s="5" t="s">
        <v>39</v>
      </c>
    </row>
    <row r="31" spans="1:4" x14ac:dyDescent="0.3">
      <c r="A31" s="32">
        <v>46288.826307870368</v>
      </c>
      <c r="B31" t="s">
        <v>18</v>
      </c>
      <c r="C31" s="1">
        <v>70000</v>
      </c>
      <c r="D31" s="4" t="s">
        <v>40</v>
      </c>
    </row>
    <row r="32" spans="1:4" x14ac:dyDescent="0.3">
      <c r="A32" s="32">
        <v>46288.826168981483</v>
      </c>
      <c r="B32" t="s">
        <v>18</v>
      </c>
      <c r="C32" s="1">
        <v>23000</v>
      </c>
      <c r="D32" s="4" t="s">
        <v>41</v>
      </c>
    </row>
    <row r="33" spans="1:4" x14ac:dyDescent="0.3">
      <c r="A33" s="32">
        <v>46288.826041666667</v>
      </c>
      <c r="B33" t="s">
        <v>18</v>
      </c>
      <c r="C33" s="1">
        <v>60000</v>
      </c>
      <c r="D33" s="4" t="s">
        <v>42</v>
      </c>
    </row>
    <row r="34" spans="1:4" x14ac:dyDescent="0.3">
      <c r="A34" s="32">
        <v>46288.825937499998</v>
      </c>
      <c r="B34" t="s">
        <v>18</v>
      </c>
      <c r="C34" s="1">
        <v>10000</v>
      </c>
      <c r="D34" s="4" t="s">
        <v>43</v>
      </c>
    </row>
    <row r="35" spans="1:4" x14ac:dyDescent="0.3">
      <c r="A35" s="32">
        <v>46288.825821759259</v>
      </c>
      <c r="B35" t="s">
        <v>18</v>
      </c>
      <c r="C35" s="1">
        <v>11900</v>
      </c>
      <c r="D35" s="4" t="s">
        <v>44</v>
      </c>
    </row>
    <row r="36" spans="1:4" x14ac:dyDescent="0.3">
      <c r="A36" s="32">
        <v>46288.823252314818</v>
      </c>
      <c r="B36" t="s">
        <v>36</v>
      </c>
      <c r="C36" s="1">
        <v>11900</v>
      </c>
      <c r="D36" s="4" t="s">
        <v>45</v>
      </c>
    </row>
    <row r="37" spans="1:4" x14ac:dyDescent="0.3">
      <c r="A37" s="32">
        <v>46288.809837962966</v>
      </c>
      <c r="B37" s="6" t="s">
        <v>32</v>
      </c>
      <c r="C37" s="1">
        <v>14100</v>
      </c>
      <c r="D37" s="4" t="s">
        <v>46</v>
      </c>
    </row>
    <row r="38" spans="1:4" x14ac:dyDescent="0.3">
      <c r="A38" s="32">
        <v>46288.809594907405</v>
      </c>
      <c r="B38" s="6" t="s">
        <v>32</v>
      </c>
      <c r="C38" s="1">
        <v>100</v>
      </c>
      <c r="D38" s="4" t="s">
        <v>47</v>
      </c>
    </row>
    <row r="39" spans="1:4" x14ac:dyDescent="0.3">
      <c r="A39" s="32">
        <v>46288.805289351854</v>
      </c>
      <c r="B39" t="s">
        <v>48</v>
      </c>
      <c r="C39" s="1">
        <v>15100</v>
      </c>
      <c r="D39" s="4" t="s">
        <v>49</v>
      </c>
    </row>
    <row r="40" spans="1:4" x14ac:dyDescent="0.3">
      <c r="A40" s="32">
        <v>46288.80505787037</v>
      </c>
      <c r="B40" t="s">
        <v>36</v>
      </c>
      <c r="C40" s="1">
        <v>15100</v>
      </c>
      <c r="D40" s="4" t="s">
        <v>50</v>
      </c>
    </row>
    <row r="41" spans="1:4" x14ac:dyDescent="0.3">
      <c r="A41" s="32">
        <v>46288.803715277776</v>
      </c>
      <c r="B41" t="s">
        <v>36</v>
      </c>
      <c r="C41" s="1">
        <v>300000</v>
      </c>
      <c r="D41" s="4" t="s">
        <v>51</v>
      </c>
    </row>
    <row r="42" spans="1:4" x14ac:dyDescent="0.3">
      <c r="A42" s="32">
        <v>46288.802800925929</v>
      </c>
      <c r="B42" s="6" t="s">
        <v>32</v>
      </c>
      <c r="C42" s="1">
        <v>14100</v>
      </c>
      <c r="D42" s="4" t="s">
        <v>52</v>
      </c>
    </row>
    <row r="43" spans="1:4" x14ac:dyDescent="0.3">
      <c r="A43" s="32">
        <v>46288.758750000001</v>
      </c>
      <c r="B43" t="s">
        <v>48</v>
      </c>
      <c r="C43" s="1">
        <v>19000</v>
      </c>
      <c r="D43" s="5" t="s">
        <v>53</v>
      </c>
    </row>
    <row r="44" spans="1:4" x14ac:dyDescent="0.3">
      <c r="A44" s="32">
        <v>46288.757685185185</v>
      </c>
      <c r="B44" t="s">
        <v>18</v>
      </c>
      <c r="C44" s="1">
        <v>500000</v>
      </c>
      <c r="D44" s="4" t="s">
        <v>54</v>
      </c>
    </row>
    <row r="45" spans="1:4" x14ac:dyDescent="0.3">
      <c r="A45" s="32">
        <v>46288.750451388885</v>
      </c>
      <c r="B45" t="s">
        <v>55</v>
      </c>
      <c r="C45" s="1">
        <v>25000</v>
      </c>
      <c r="D45" s="4" t="s">
        <v>56</v>
      </c>
    </row>
    <row r="46" spans="1:4" x14ac:dyDescent="0.3">
      <c r="A46" s="32">
        <v>46288.747615740744</v>
      </c>
      <c r="B46" t="s">
        <v>57</v>
      </c>
      <c r="C46" s="1">
        <v>22000</v>
      </c>
      <c r="D46" s="5" t="s">
        <v>58</v>
      </c>
    </row>
    <row r="47" spans="1:4" x14ac:dyDescent="0.3">
      <c r="A47" s="32">
        <v>46288.744386574072</v>
      </c>
      <c r="B47" s="6" t="s">
        <v>32</v>
      </c>
      <c r="C47" s="1">
        <v>18000</v>
      </c>
      <c r="D47" s="4" t="s">
        <v>59</v>
      </c>
    </row>
    <row r="48" spans="1:4" x14ac:dyDescent="0.3">
      <c r="A48" s="32">
        <v>46288.74046296296</v>
      </c>
      <c r="B48" t="s">
        <v>60</v>
      </c>
      <c r="C48" s="1">
        <v>63000</v>
      </c>
      <c r="D48" s="4" t="s">
        <v>61</v>
      </c>
    </row>
    <row r="49" spans="1:4" x14ac:dyDescent="0.3">
      <c r="A49" s="32">
        <v>46288.74013888889</v>
      </c>
      <c r="B49" t="s">
        <v>60</v>
      </c>
      <c r="C49" s="1">
        <v>22000</v>
      </c>
      <c r="D49" s="4" t="s">
        <v>62</v>
      </c>
    </row>
    <row r="50" spans="1:4" x14ac:dyDescent="0.3">
      <c r="A50" s="32">
        <v>46288.740104166667</v>
      </c>
      <c r="B50" t="s">
        <v>60</v>
      </c>
      <c r="C50" s="1">
        <v>22000</v>
      </c>
      <c r="D50" s="4" t="s">
        <v>62</v>
      </c>
    </row>
    <row r="51" spans="1:4" ht="17.25" thickBot="1" x14ac:dyDescent="0.35">
      <c r="A51" s="32">
        <v>46288.740034722221</v>
      </c>
      <c r="B51" t="s">
        <v>60</v>
      </c>
      <c r="C51" s="1">
        <v>22000</v>
      </c>
      <c r="D51" s="4" t="s">
        <v>63</v>
      </c>
    </row>
    <row r="52" spans="1:4" ht="18" thickTop="1" thickBot="1" x14ac:dyDescent="0.35">
      <c r="B52" s="7" t="s">
        <v>64</v>
      </c>
      <c r="C52" s="8">
        <f>SUM(C2:C51)</f>
        <v>2351600</v>
      </c>
    </row>
    <row r="53" spans="1:4" ht="17.25" thickTop="1" x14ac:dyDescent="0.3"/>
    <row r="54" spans="1:4" x14ac:dyDescent="0.3">
      <c r="A54" s="9" t="s">
        <v>65</v>
      </c>
      <c r="B54" s="9" t="s">
        <v>66</v>
      </c>
      <c r="C54" s="9" t="s">
        <v>67</v>
      </c>
    </row>
    <row r="55" spans="1:4" x14ac:dyDescent="0.3">
      <c r="A55" s="12" t="s">
        <v>69</v>
      </c>
      <c r="B55" s="11" t="s">
        <v>68</v>
      </c>
      <c r="C55" s="10">
        <v>10000</v>
      </c>
    </row>
    <row r="56" spans="1:4" x14ac:dyDescent="0.3">
      <c r="A56" s="12" t="s">
        <v>73</v>
      </c>
      <c r="B56" s="13" t="s">
        <v>72</v>
      </c>
      <c r="C56" s="10">
        <v>19000</v>
      </c>
    </row>
    <row r="57" spans="1:4" x14ac:dyDescent="0.3">
      <c r="A57" s="12" t="s">
        <v>71</v>
      </c>
      <c r="B57" s="11" t="s">
        <v>70</v>
      </c>
      <c r="C57" s="10">
        <v>15100</v>
      </c>
    </row>
    <row r="58" spans="1:4" x14ac:dyDescent="0.3">
      <c r="A58" s="12" t="s">
        <v>75</v>
      </c>
      <c r="B58" s="11" t="s">
        <v>68</v>
      </c>
      <c r="C58" s="10">
        <v>11900</v>
      </c>
    </row>
    <row r="59" spans="1:4" x14ac:dyDescent="0.3">
      <c r="A59" s="12" t="s">
        <v>74</v>
      </c>
      <c r="B59" s="11" t="s">
        <v>68</v>
      </c>
      <c r="C59" s="10">
        <v>22000</v>
      </c>
    </row>
    <row r="60" spans="1:4" x14ac:dyDescent="0.3">
      <c r="A60" s="12" t="s">
        <v>81</v>
      </c>
      <c r="B60" s="11" t="s">
        <v>80</v>
      </c>
      <c r="C60" s="10">
        <v>22000</v>
      </c>
    </row>
    <row r="61" spans="1:4" x14ac:dyDescent="0.3">
      <c r="A61" s="12" t="s">
        <v>79</v>
      </c>
      <c r="B61" s="11" t="s">
        <v>68</v>
      </c>
      <c r="C61" s="10">
        <v>33000</v>
      </c>
    </row>
    <row r="62" spans="1:4" x14ac:dyDescent="0.3">
      <c r="A62" s="12" t="s">
        <v>78</v>
      </c>
      <c r="B62" s="11" t="s">
        <v>68</v>
      </c>
      <c r="C62" s="10">
        <v>10000</v>
      </c>
    </row>
    <row r="63" spans="1:4" x14ac:dyDescent="0.3">
      <c r="A63" s="12" t="s">
        <v>77</v>
      </c>
      <c r="B63" s="11" t="s">
        <v>76</v>
      </c>
      <c r="C63" s="10">
        <v>20000</v>
      </c>
    </row>
    <row r="64" spans="1:4" x14ac:dyDescent="0.3">
      <c r="A64" s="12" t="s">
        <v>85</v>
      </c>
      <c r="B64" s="13" t="s">
        <v>84</v>
      </c>
      <c r="C64" s="10">
        <v>15100</v>
      </c>
    </row>
    <row r="65" spans="1:9" x14ac:dyDescent="0.3">
      <c r="A65" s="12" t="s">
        <v>83</v>
      </c>
      <c r="B65" s="11" t="s">
        <v>82</v>
      </c>
      <c r="C65" s="10">
        <v>100000</v>
      </c>
    </row>
    <row r="66" spans="1:9" x14ac:dyDescent="0.3">
      <c r="A66" s="12" t="s">
        <v>87</v>
      </c>
      <c r="B66" s="11" t="s">
        <v>86</v>
      </c>
      <c r="C66" s="10">
        <v>45000</v>
      </c>
    </row>
    <row r="67" spans="1:9" x14ac:dyDescent="0.3">
      <c r="A67" s="12" t="s">
        <v>91</v>
      </c>
      <c r="B67" s="11" t="s">
        <v>90</v>
      </c>
      <c r="C67" s="10">
        <v>10000</v>
      </c>
    </row>
    <row r="68" spans="1:9" x14ac:dyDescent="0.3">
      <c r="A68" s="12" t="s">
        <v>89</v>
      </c>
      <c r="B68" s="11" t="s">
        <v>88</v>
      </c>
      <c r="C68" s="10">
        <v>1000</v>
      </c>
    </row>
    <row r="69" spans="1:9" x14ac:dyDescent="0.3">
      <c r="A69" s="12" t="s">
        <v>93</v>
      </c>
      <c r="B69" s="11" t="s">
        <v>92</v>
      </c>
      <c r="C69" s="10">
        <v>65000</v>
      </c>
    </row>
    <row r="70" spans="1:9" x14ac:dyDescent="0.3">
      <c r="A70" s="12" t="s">
        <v>97</v>
      </c>
      <c r="B70" s="11" t="s">
        <v>96</v>
      </c>
      <c r="C70" s="10">
        <v>9000</v>
      </c>
    </row>
    <row r="71" spans="1:9" x14ac:dyDescent="0.3">
      <c r="A71" s="12" t="s">
        <v>95</v>
      </c>
      <c r="B71" s="11" t="s">
        <v>94</v>
      </c>
      <c r="C71" s="10">
        <v>141000</v>
      </c>
    </row>
    <row r="72" spans="1:9" ht="17.25" thickBot="1" x14ac:dyDescent="0.35">
      <c r="A72" s="12" t="s">
        <v>99</v>
      </c>
      <c r="B72" s="11" t="s">
        <v>98</v>
      </c>
      <c r="C72" s="10">
        <v>42000</v>
      </c>
    </row>
    <row r="73" spans="1:9" ht="18" thickTop="1" thickBot="1" x14ac:dyDescent="0.35">
      <c r="B73" s="7" t="s">
        <v>100</v>
      </c>
      <c r="C73" s="8">
        <f>SUM(C55:C72)</f>
        <v>591100</v>
      </c>
    </row>
    <row r="74" spans="1:9" ht="18" thickTop="1" thickBot="1" x14ac:dyDescent="0.35"/>
    <row r="75" spans="1:9" ht="18" thickTop="1" thickBot="1" x14ac:dyDescent="0.35">
      <c r="A75" s="14" t="s">
        <v>101</v>
      </c>
      <c r="B75" s="15">
        <f>C73</f>
        <v>591100</v>
      </c>
      <c r="C75" s="16" t="s">
        <v>102</v>
      </c>
      <c r="D75" s="17">
        <f>B75*10%</f>
        <v>59110</v>
      </c>
      <c r="E75" s="18"/>
      <c r="F75" s="19"/>
      <c r="G75" s="20" t="s">
        <v>103</v>
      </c>
      <c r="H75" s="21">
        <f>(B75-D75)*80%</f>
        <v>425592</v>
      </c>
    </row>
    <row r="76" spans="1:9" ht="18" thickTop="1" thickBot="1" x14ac:dyDescent="0.35">
      <c r="A76" s="14" t="s">
        <v>104</v>
      </c>
      <c r="B76" s="15">
        <f>C52</f>
        <v>2351600</v>
      </c>
      <c r="C76" s="16" t="s">
        <v>105</v>
      </c>
      <c r="D76" s="17">
        <f>B76*10%</f>
        <v>235160</v>
      </c>
      <c r="E76" s="22" t="s">
        <v>102</v>
      </c>
      <c r="F76" s="23">
        <f>B76*10%</f>
        <v>235160</v>
      </c>
      <c r="G76" s="20" t="s">
        <v>103</v>
      </c>
      <c r="H76" s="21">
        <f>(B76-D76-F76)*80%</f>
        <v>1505024</v>
      </c>
    </row>
    <row r="77" spans="1:9" ht="17.25" thickBot="1" x14ac:dyDescent="0.35">
      <c r="C77" s="1"/>
      <c r="E77" s="1"/>
    </row>
    <row r="78" spans="1:9" ht="18" thickTop="1" thickBot="1" x14ac:dyDescent="0.35">
      <c r="A78" s="24" t="s">
        <v>106</v>
      </c>
      <c r="B78" s="25">
        <f>H75+H76</f>
        <v>1930616</v>
      </c>
      <c r="C78" s="24" t="s">
        <v>107</v>
      </c>
      <c r="D78" s="26">
        <f>D79+D80</f>
        <v>63700</v>
      </c>
      <c r="E78" s="27" t="s">
        <v>108</v>
      </c>
      <c r="F78" s="28">
        <f>B78-D78</f>
        <v>1866916</v>
      </c>
      <c r="G78" s="29"/>
      <c r="H78" s="29"/>
      <c r="I78" s="30"/>
    </row>
    <row r="79" spans="1:9" ht="17.25" thickTop="1" x14ac:dyDescent="0.3">
      <c r="C79" s="31" t="s">
        <v>109</v>
      </c>
      <c r="D79" s="31">
        <f>ROUNDDOWN((B78*3%),-1)</f>
        <v>57910</v>
      </c>
      <c r="E79" s="1"/>
    </row>
    <row r="80" spans="1:9" x14ac:dyDescent="0.3">
      <c r="C80" s="31" t="s">
        <v>110</v>
      </c>
      <c r="D80" s="31">
        <f>ROUNDDOWN((D79*10%),-1)</f>
        <v>5790</v>
      </c>
    </row>
    <row r="81" spans="3:3" x14ac:dyDescent="0.3">
      <c r="C8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Company DIN</dc:creator>
  <cp:lastModifiedBy>Company DIN</cp:lastModifiedBy>
  <dcterms:created xsi:type="dcterms:W3CDTF">2026-09-27T11:42:13Z</dcterms:created>
  <dcterms:modified xsi:type="dcterms:W3CDTF">2026-09-27T11:50:59Z</dcterms:modified>
</cp:coreProperties>
</file>