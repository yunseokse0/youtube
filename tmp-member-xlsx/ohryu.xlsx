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개인 정산 내역서\자키\신상류사회4화\"/>
    </mc:Choice>
  </mc:AlternateContent>
  <xr:revisionPtr revIDLastSave="0" documentId="8_{271AF3CB-FB6C-40B1-9C03-C9D35056B77D}" xr6:coauthVersionLast="47" xr6:coauthVersionMax="47" xr10:uidLastSave="{00000000-0000-0000-0000-000000000000}"/>
  <bookViews>
    <workbookView xWindow="60375" yWindow="825" windowWidth="16065" windowHeight="20130" xr2:uid="{2CA37BD0-167D-4BB8-84F0-E1CC73B410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1" l="1"/>
  <c r="B58" i="1"/>
  <c r="C56" i="1"/>
  <c r="C41" i="1"/>
  <c r="D58" i="1" l="1"/>
  <c r="H58" i="1" s="1"/>
  <c r="D59" i="1"/>
  <c r="F59" i="1"/>
  <c r="H59" i="1" l="1"/>
  <c r="B61" i="1"/>
  <c r="D62" i="1" l="1"/>
  <c r="D63" i="1" l="1"/>
  <c r="D61" i="1" s="1"/>
  <c r="F61" i="1" s="1"/>
</calcChain>
</file>

<file path=xl/sharedStrings.xml><?xml version="1.0" encoding="utf-8"?>
<sst xmlns="http://schemas.openxmlformats.org/spreadsheetml/2006/main" count="123" uniqueCount="93">
  <si>
    <t>Time</t>
  </si>
  <si>
    <t xml:space="preserve"> Name</t>
  </si>
  <si>
    <t xml:space="preserve"> Amount</t>
  </si>
  <si>
    <t xml:space="preserve"> Message</t>
  </si>
  <si>
    <t>셔닝</t>
  </si>
  <si>
    <t xml:space="preserve">홀리몰리 - 하루도 수고많았어!!  모두 수고많으셨어요! </t>
  </si>
  <si>
    <t>자키집고양이</t>
  </si>
  <si>
    <t>Dark Side - 하루부장님 월클인데 초청에 응해주셔서 감사해요</t>
  </si>
  <si>
    <t>츄석</t>
  </si>
  <si>
    <t>하루 홍어 먹지마 꽥</t>
  </si>
  <si>
    <t>오가닉</t>
  </si>
  <si>
    <t>먹지마 - 하부장 지나가는데 또 필요해보여서 ㅋㅋ</t>
  </si>
  <si>
    <t>홍어 먹지망 꽥</t>
  </si>
  <si>
    <t>처키</t>
  </si>
  <si>
    <t>하부장 방어</t>
  </si>
  <si>
    <t>자키집안나</t>
  </si>
  <si>
    <t>먹어 - 하루님 레몬드세여 헤헷</t>
  </si>
  <si>
    <t>자키집쓰볼탱69</t>
  </si>
  <si>
    <t>하루야 홍어묵자</t>
  </si>
  <si>
    <t>하루야 가발은 너꺼야 갖구와</t>
  </si>
  <si>
    <t>Dark Side - 오류난하루 화이팅!</t>
  </si>
  <si>
    <t>하루 한가위 잘보냉:)</t>
  </si>
  <si>
    <t>역도 - 오류난하루 화이팅!</t>
  </si>
  <si>
    <t>먹어 - 월클하루부장님 홍어 드셔보시죠</t>
  </si>
  <si>
    <t>먹어x10 - 월클하루부장님 홍어 드셔보시죠</t>
  </si>
  <si>
    <t>꼬도리맘</t>
  </si>
  <si>
    <t>역도 - 이제 퇴근해따 하루화이팅!!</t>
  </si>
  <si>
    <t>심뽀</t>
  </si>
  <si>
    <t>New제로투 - 욕로투는 하루죠</t>
  </si>
  <si>
    <t>하부장 밥</t>
  </si>
  <si>
    <t>하부장 지원</t>
  </si>
  <si>
    <t>하루야 청양고추</t>
  </si>
  <si>
    <t>하루야 푸른주스</t>
  </si>
  <si>
    <t>하루야 가발써</t>
  </si>
  <si>
    <t>게임이겼으니 축배 들자 하루 푸른주스  ㄱㄱ</t>
  </si>
  <si>
    <t>New제로투 - 마빡이 하루님 헤헷</t>
  </si>
  <si>
    <t>하루 다시 가발써</t>
  </si>
  <si>
    <t>먹지마 - 하부장 뭔지 모르겟지만 필요해보여서 ㅋㅎ</t>
  </si>
  <si>
    <t>설향</t>
  </si>
  <si>
    <t>팀분들도 하나씩</t>
  </si>
  <si>
    <t>다율이 가발 받아서 하루써</t>
  </si>
  <si>
    <t>내타겟 홍어 묵자 하루 들고와</t>
  </si>
  <si>
    <t>범이</t>
  </si>
  <si>
    <t>먹지마 - 하루님 쉴드 ~</t>
  </si>
  <si>
    <t>하루님 고추하나 추가</t>
  </si>
  <si>
    <t>오류난 홍어 들고오셈 히히 먹어여</t>
  </si>
  <si>
    <t>오류난 화장지워</t>
  </si>
  <si>
    <t>내타갯 알아서 청양고추 들고 컴온</t>
  </si>
  <si>
    <t>수호단</t>
  </si>
  <si>
    <t>캐치캐치 - 하루 고생해라 난 다시 지나간다</t>
  </si>
  <si>
    <t>귤동이</t>
  </si>
  <si>
    <t xml:space="preserve">흡연화장실 - 하루누나 나왔어요 </t>
  </si>
  <si>
    <t>활어 - 오류난하루 오늘 내타겟 타격감 맛도리 헤헤</t>
  </si>
  <si>
    <t>활어 - 난 한놈만 패기때문에 탐색좀 할게 오류난컴온</t>
  </si>
  <si>
    <t>투네이션 합계</t>
    <phoneticPr fontId="2" type="noConversion"/>
  </si>
  <si>
    <t>거래일시</t>
  </si>
  <si>
    <t>적요내용</t>
  </si>
  <si>
    <t>입금금액</t>
  </si>
  <si>
    <t>지여니/하루이쁘다</t>
  </si>
  <si>
    <t>2026.09.23 23:43:30</t>
  </si>
  <si>
    <t>지여니/하루대기</t>
  </si>
  <si>
    <t>2026.09.23 23:09:13</t>
  </si>
  <si>
    <t>mini(홍어 먹지</t>
  </si>
  <si>
    <t>2026.09.23 23:11:29</t>
  </si>
  <si>
    <t>지연/하루한마디하자</t>
  </si>
  <si>
    <t>2026.09.23 21:26:35</t>
  </si>
  <si>
    <t>하루가발빼자</t>
  </si>
  <si>
    <t>2026.09.23 20:17:04</t>
  </si>
  <si>
    <t>하루 홍어먹지마</t>
  </si>
  <si>
    <t>2026.09.23 20:04:16</t>
  </si>
  <si>
    <t>하루홍어쉴드</t>
  </si>
  <si>
    <t>2026.09.23 20:07:01</t>
  </si>
  <si>
    <t>하루쿨피스먹어</t>
  </si>
  <si>
    <t>2026.09.23 19:20:54</t>
  </si>
  <si>
    <t>하루홍오먹지마</t>
  </si>
  <si>
    <t>2026.09.23 19:21:57</t>
  </si>
  <si>
    <t>간지민수/하루</t>
  </si>
  <si>
    <t>2026.09.23 18:10:36</t>
  </si>
  <si>
    <t>퓨리/하루야 즐겨</t>
  </si>
  <si>
    <t>2026.09.23 17:48:02</t>
  </si>
  <si>
    <t>퓨리/하루♡</t>
  </si>
  <si>
    <t>2026.09.23 17:52:27</t>
  </si>
  <si>
    <t>계좌합계</t>
    <phoneticPr fontId="2" type="noConversion"/>
  </si>
  <si>
    <t>계좌 후원 금액</t>
    <phoneticPr fontId="2" type="noConversion"/>
  </si>
  <si>
    <t>부가세</t>
    <phoneticPr fontId="2" type="noConversion"/>
  </si>
  <si>
    <t>정산금 80%</t>
    <phoneticPr fontId="2" type="noConversion"/>
  </si>
  <si>
    <t>투네이션 후원 금액</t>
    <phoneticPr fontId="2" type="noConversion"/>
  </si>
  <si>
    <t>수수료</t>
    <phoneticPr fontId="2" type="noConversion"/>
  </si>
  <si>
    <t>정산금 총 합계</t>
    <phoneticPr fontId="2" type="noConversion"/>
  </si>
  <si>
    <t>원천세</t>
    <phoneticPr fontId="2" type="noConversion"/>
  </si>
  <si>
    <t>실지급액</t>
    <phoneticPr fontId="2" type="noConversion"/>
  </si>
  <si>
    <t>소득세</t>
    <phoneticPr fontId="2" type="noConversion"/>
  </si>
  <si>
    <t>지방소득세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</si>
</sst>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0" borderId="1" xfId="0" applyFont="1" applyBorder="1">
      <alignment vertical="center"/>
    </xf>
    <xf numFmtId="41" fontId="4" fillId="0" borderId="2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9" xfId="1" applyFont="1" applyBorder="1">
      <alignment vertical="center"/>
    </xf>
    <xf numFmtId="41" fontId="0" fillId="0" borderId="10" xfId="1" applyFont="1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1" xfId="1" applyFont="1" applyBorder="1" applyAlignment="1">
      <alignment horizontal="center" vertical="center"/>
    </xf>
    <xf numFmtId="41" fontId="0" fillId="0" borderId="12" xfId="1" applyFont="1" applyBorder="1">
      <alignment vertical="center"/>
    </xf>
    <xf numFmtId="41" fontId="6" fillId="5" borderId="13" xfId="1" applyFont="1" applyFill="1" applyBorder="1" applyAlignment="1">
      <alignment horizontal="center" vertical="center"/>
    </xf>
    <xf numFmtId="41" fontId="6" fillId="5" borderId="2" xfId="1" applyFont="1" applyFill="1" applyBorder="1" applyAlignment="1">
      <alignment horizontal="center" vertical="center"/>
    </xf>
    <xf numFmtId="41" fontId="6" fillId="5" borderId="2" xfId="1" applyFont="1" applyFill="1" applyBorder="1">
      <alignment vertical="center"/>
    </xf>
    <xf numFmtId="41" fontId="7" fillId="5" borderId="13" xfId="1" applyFont="1" applyFill="1" applyBorder="1" applyAlignment="1">
      <alignment horizontal="center" vertical="center"/>
    </xf>
    <xf numFmtId="41" fontId="7" fillId="5" borderId="2" xfId="1" applyFont="1" applyFill="1" applyBorder="1">
      <alignment vertical="center"/>
    </xf>
    <xf numFmtId="41" fontId="6" fillId="5" borderId="0" xfId="1" applyFont="1" applyFill="1">
      <alignment vertical="center"/>
    </xf>
    <xf numFmtId="0" fontId="6" fillId="0" borderId="0" xfId="0" applyFont="1">
      <alignment vertical="center"/>
    </xf>
    <xf numFmtId="41" fontId="8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AAF2-DF90-4B8C-A407-FCEC615C0DE2}">
  <dimension ref="A1:I64"/>
  <sheetViews>
    <sheetView tabSelected="1" workbookViewId="0">
      <selection activeCell="B60" sqref="B60"/>
    </sheetView>
  </sheetViews>
  <sheetFormatPr defaultRowHeight="16.5" x14ac:dyDescent="0.3"/>
  <cols>
    <col min="1" max="1" width="16.625" style="2" bestFit="1" customWidth="1"/>
    <col min="2" max="2" width="15.25" bestFit="1" customWidth="1"/>
    <col min="3" max="9" width="13" customWidth="1"/>
  </cols>
  <sheetData>
    <row r="1" spans="1:4" s="2" customFormat="1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10">
        <v>46289.021724537037</v>
      </c>
      <c r="B2" t="s">
        <v>4</v>
      </c>
      <c r="C2" s="1">
        <v>10000</v>
      </c>
      <c r="D2" s="4" t="s">
        <v>5</v>
      </c>
    </row>
    <row r="3" spans="1:4" x14ac:dyDescent="0.3">
      <c r="A3" s="10">
        <v>46288.993668981479</v>
      </c>
      <c r="B3" s="5" t="s">
        <v>6</v>
      </c>
      <c r="C3" s="1">
        <v>100000</v>
      </c>
      <c r="D3" s="4" t="s">
        <v>7</v>
      </c>
    </row>
    <row r="4" spans="1:4" x14ac:dyDescent="0.3">
      <c r="A4" s="10">
        <v>46288.965115740742</v>
      </c>
      <c r="B4" t="s">
        <v>8</v>
      </c>
      <c r="C4" s="1">
        <v>15100</v>
      </c>
      <c r="D4" s="4" t="s">
        <v>9</v>
      </c>
    </row>
    <row r="5" spans="1:4" x14ac:dyDescent="0.3">
      <c r="A5" s="10">
        <v>46288.964814814812</v>
      </c>
      <c r="B5" t="s">
        <v>10</v>
      </c>
      <c r="C5" s="1">
        <v>15100</v>
      </c>
      <c r="D5" s="6" t="s">
        <v>11</v>
      </c>
    </row>
    <row r="6" spans="1:4" x14ac:dyDescent="0.3">
      <c r="A6" s="10">
        <v>46288.963958333334</v>
      </c>
      <c r="B6" t="s">
        <v>8</v>
      </c>
      <c r="C6" s="1">
        <v>15100</v>
      </c>
      <c r="D6" s="6" t="s">
        <v>12</v>
      </c>
    </row>
    <row r="7" spans="1:4" x14ac:dyDescent="0.3">
      <c r="A7" s="10">
        <v>46288.962835648148</v>
      </c>
      <c r="B7" t="s">
        <v>13</v>
      </c>
      <c r="C7" s="1">
        <v>151000</v>
      </c>
      <c r="D7" s="6" t="s">
        <v>14</v>
      </c>
    </row>
    <row r="8" spans="1:4" x14ac:dyDescent="0.3">
      <c r="A8" s="10">
        <v>46288.962627314817</v>
      </c>
      <c r="B8" s="5" t="s">
        <v>15</v>
      </c>
      <c r="C8" s="1">
        <v>14100</v>
      </c>
      <c r="D8" s="4" t="s">
        <v>16</v>
      </c>
    </row>
    <row r="9" spans="1:4" x14ac:dyDescent="0.3">
      <c r="A9" s="10">
        <v>46288.960648148146</v>
      </c>
      <c r="B9" s="5" t="s">
        <v>17</v>
      </c>
      <c r="C9" s="1">
        <v>14100</v>
      </c>
      <c r="D9" s="4" t="s">
        <v>18</v>
      </c>
    </row>
    <row r="10" spans="1:4" x14ac:dyDescent="0.3">
      <c r="A10" s="10">
        <v>46288.960173611114</v>
      </c>
      <c r="B10" s="5" t="s">
        <v>17</v>
      </c>
      <c r="C10" s="1">
        <v>14100</v>
      </c>
      <c r="D10" s="4" t="s">
        <v>19</v>
      </c>
    </row>
    <row r="11" spans="1:4" x14ac:dyDescent="0.3">
      <c r="A11" s="10">
        <v>46288.958773148152</v>
      </c>
      <c r="B11" t="s">
        <v>4</v>
      </c>
      <c r="C11" s="1">
        <v>100000</v>
      </c>
      <c r="D11" s="4" t="s">
        <v>20</v>
      </c>
    </row>
    <row r="12" spans="1:4" x14ac:dyDescent="0.3">
      <c r="A12" s="10">
        <v>46288.958738425928</v>
      </c>
      <c r="B12" t="s">
        <v>8</v>
      </c>
      <c r="C12" s="1">
        <v>20000</v>
      </c>
      <c r="D12" s="4" t="s">
        <v>21</v>
      </c>
    </row>
    <row r="13" spans="1:4" x14ac:dyDescent="0.3">
      <c r="A13" s="10">
        <v>46288.958391203705</v>
      </c>
      <c r="B13" t="s">
        <v>4</v>
      </c>
      <c r="C13" s="1">
        <v>17000</v>
      </c>
      <c r="D13" s="4" t="s">
        <v>22</v>
      </c>
    </row>
    <row r="14" spans="1:4" x14ac:dyDescent="0.3">
      <c r="A14" s="10">
        <v>46288.940763888888</v>
      </c>
      <c r="B14" s="5" t="s">
        <v>6</v>
      </c>
      <c r="C14" s="1">
        <v>14100</v>
      </c>
      <c r="D14" s="4" t="s">
        <v>23</v>
      </c>
    </row>
    <row r="15" spans="1:4" x14ac:dyDescent="0.3">
      <c r="A15" s="10">
        <v>46288.940613425926</v>
      </c>
      <c r="B15" s="5" t="s">
        <v>6</v>
      </c>
      <c r="C15" s="1">
        <v>141000</v>
      </c>
      <c r="D15" s="4" t="s">
        <v>24</v>
      </c>
    </row>
    <row r="16" spans="1:4" x14ac:dyDescent="0.3">
      <c r="A16" s="10">
        <v>46288.939780092594</v>
      </c>
      <c r="B16" t="s">
        <v>25</v>
      </c>
      <c r="C16" s="1">
        <v>17000</v>
      </c>
      <c r="D16" s="4" t="s">
        <v>26</v>
      </c>
    </row>
    <row r="17" spans="1:4" x14ac:dyDescent="0.3">
      <c r="A17" s="10">
        <v>46288.893125000002</v>
      </c>
      <c r="B17" t="s">
        <v>27</v>
      </c>
      <c r="C17" s="1">
        <v>22000</v>
      </c>
      <c r="D17" s="4" t="s">
        <v>28</v>
      </c>
    </row>
    <row r="18" spans="1:4" x14ac:dyDescent="0.3">
      <c r="A18" s="10">
        <v>46288.892500000002</v>
      </c>
      <c r="B18" t="s">
        <v>13</v>
      </c>
      <c r="C18" s="1">
        <v>141000</v>
      </c>
      <c r="D18" s="6" t="s">
        <v>29</v>
      </c>
    </row>
    <row r="19" spans="1:4" x14ac:dyDescent="0.3">
      <c r="A19" s="10">
        <v>46288.877592592595</v>
      </c>
      <c r="B19" t="s">
        <v>13</v>
      </c>
      <c r="C19" s="1">
        <v>151000</v>
      </c>
      <c r="D19" s="6" t="s">
        <v>30</v>
      </c>
    </row>
    <row r="20" spans="1:4" x14ac:dyDescent="0.3">
      <c r="A20" s="10">
        <v>46288.871122685188</v>
      </c>
      <c r="B20" s="5" t="s">
        <v>17</v>
      </c>
      <c r="C20" s="1">
        <v>14100</v>
      </c>
      <c r="D20" s="4" t="s">
        <v>31</v>
      </c>
    </row>
    <row r="21" spans="1:4" x14ac:dyDescent="0.3">
      <c r="A21" s="10">
        <v>46288.870972222219</v>
      </c>
      <c r="B21" s="5" t="s">
        <v>17</v>
      </c>
      <c r="C21" s="1">
        <v>14100</v>
      </c>
      <c r="D21" s="4" t="s">
        <v>32</v>
      </c>
    </row>
    <row r="22" spans="1:4" x14ac:dyDescent="0.3">
      <c r="A22" s="10">
        <v>46288.870844907404</v>
      </c>
      <c r="B22" s="5" t="s">
        <v>17</v>
      </c>
      <c r="C22" s="1">
        <v>14100</v>
      </c>
      <c r="D22" s="4" t="s">
        <v>33</v>
      </c>
    </row>
    <row r="23" spans="1:4" x14ac:dyDescent="0.3">
      <c r="A23" s="10">
        <v>46288.866793981484</v>
      </c>
      <c r="B23" s="5" t="s">
        <v>17</v>
      </c>
      <c r="C23" s="1">
        <v>14100</v>
      </c>
      <c r="D23" s="4" t="s">
        <v>34</v>
      </c>
    </row>
    <row r="24" spans="1:4" x14ac:dyDescent="0.3">
      <c r="A24" s="10">
        <v>46288.848680555559</v>
      </c>
      <c r="B24" s="5" t="s">
        <v>15</v>
      </c>
      <c r="C24" s="1">
        <v>22000</v>
      </c>
      <c r="D24" s="4" t="s">
        <v>35</v>
      </c>
    </row>
    <row r="25" spans="1:4" x14ac:dyDescent="0.3">
      <c r="A25" s="10">
        <v>46288.84814814815</v>
      </c>
      <c r="B25" s="5" t="s">
        <v>17</v>
      </c>
      <c r="C25" s="1">
        <v>14100</v>
      </c>
      <c r="D25" s="4" t="s">
        <v>36</v>
      </c>
    </row>
    <row r="26" spans="1:4" x14ac:dyDescent="0.3">
      <c r="A26" s="10">
        <v>46288.842997685184</v>
      </c>
      <c r="B26" t="s">
        <v>10</v>
      </c>
      <c r="C26" s="1">
        <v>15100</v>
      </c>
      <c r="D26" s="6" t="s">
        <v>37</v>
      </c>
    </row>
    <row r="27" spans="1:4" x14ac:dyDescent="0.3">
      <c r="A27" s="10">
        <v>46288.835625</v>
      </c>
      <c r="B27" t="s">
        <v>38</v>
      </c>
      <c r="C27" s="1">
        <v>10000</v>
      </c>
      <c r="D27" s="6" t="s">
        <v>39</v>
      </c>
    </row>
    <row r="28" spans="1:4" x14ac:dyDescent="0.3">
      <c r="A28" s="10">
        <v>46288.827384259261</v>
      </c>
      <c r="B28" s="5" t="s">
        <v>17</v>
      </c>
      <c r="C28" s="1">
        <v>14100</v>
      </c>
      <c r="D28" s="4" t="s">
        <v>40</v>
      </c>
    </row>
    <row r="29" spans="1:4" x14ac:dyDescent="0.3">
      <c r="A29" s="10">
        <v>46288.82603009259</v>
      </c>
      <c r="B29" s="5" t="s">
        <v>17</v>
      </c>
      <c r="C29" s="1">
        <v>14100</v>
      </c>
      <c r="D29" s="4" t="s">
        <v>41</v>
      </c>
    </row>
    <row r="30" spans="1:4" x14ac:dyDescent="0.3">
      <c r="A30" s="10">
        <v>46288.824629629627</v>
      </c>
      <c r="B30" t="s">
        <v>42</v>
      </c>
      <c r="C30" s="1">
        <v>15100</v>
      </c>
      <c r="D30" s="4" t="s">
        <v>43</v>
      </c>
    </row>
    <row r="31" spans="1:4" x14ac:dyDescent="0.3">
      <c r="A31" s="10">
        <v>46288.810659722221</v>
      </c>
      <c r="B31" s="5" t="s">
        <v>17</v>
      </c>
      <c r="C31" s="1">
        <v>14100</v>
      </c>
      <c r="D31" s="4" t="s">
        <v>44</v>
      </c>
    </row>
    <row r="32" spans="1:4" x14ac:dyDescent="0.3">
      <c r="A32" s="10">
        <v>46288.804722222223</v>
      </c>
      <c r="B32" s="5" t="s">
        <v>17</v>
      </c>
      <c r="C32" s="1">
        <v>14100</v>
      </c>
      <c r="D32" s="6" t="s">
        <v>45</v>
      </c>
    </row>
    <row r="33" spans="1:4" x14ac:dyDescent="0.3">
      <c r="A33" s="10">
        <v>46288.802916666667</v>
      </c>
      <c r="B33" s="5" t="s">
        <v>17</v>
      </c>
      <c r="C33" s="1">
        <v>14100</v>
      </c>
      <c r="D33" s="6" t="s">
        <v>46</v>
      </c>
    </row>
    <row r="34" spans="1:4" x14ac:dyDescent="0.3">
      <c r="A34" s="10">
        <v>46288.802407407406</v>
      </c>
      <c r="B34" s="5" t="s">
        <v>17</v>
      </c>
      <c r="C34" s="1">
        <v>14100</v>
      </c>
      <c r="D34" s="6" t="s">
        <v>47</v>
      </c>
    </row>
    <row r="35" spans="1:4" x14ac:dyDescent="0.3">
      <c r="A35" s="10">
        <v>46288.773472222223</v>
      </c>
      <c r="B35" t="s">
        <v>48</v>
      </c>
      <c r="C35" s="1">
        <v>20000</v>
      </c>
      <c r="D35" s="4" t="s">
        <v>49</v>
      </c>
    </row>
    <row r="36" spans="1:4" x14ac:dyDescent="0.3">
      <c r="A36" s="10">
        <v>46288.754421296297</v>
      </c>
      <c r="B36" t="s">
        <v>50</v>
      </c>
      <c r="C36" s="1">
        <v>11900</v>
      </c>
      <c r="D36" s="4" t="s">
        <v>51</v>
      </c>
    </row>
    <row r="37" spans="1:4" x14ac:dyDescent="0.3">
      <c r="A37" s="10">
        <v>46288.754351851851</v>
      </c>
      <c r="B37" t="s">
        <v>50</v>
      </c>
      <c r="C37" s="1">
        <v>11900</v>
      </c>
      <c r="D37" s="4" t="s">
        <v>51</v>
      </c>
    </row>
    <row r="38" spans="1:4" x14ac:dyDescent="0.3">
      <c r="A38" s="10">
        <v>46288.753634259258</v>
      </c>
      <c r="B38" t="s">
        <v>50</v>
      </c>
      <c r="C38" s="1">
        <v>11900</v>
      </c>
      <c r="D38" s="4" t="s">
        <v>51</v>
      </c>
    </row>
    <row r="39" spans="1:4" x14ac:dyDescent="0.3">
      <c r="A39" s="10">
        <v>46288.749583333331</v>
      </c>
      <c r="B39" s="5" t="s">
        <v>17</v>
      </c>
      <c r="C39" s="1">
        <v>18000</v>
      </c>
      <c r="D39" s="4" t="s">
        <v>52</v>
      </c>
    </row>
    <row r="40" spans="1:4" ht="17.25" thickBot="1" x14ac:dyDescent="0.35">
      <c r="A40" s="10">
        <v>46288.744652777779</v>
      </c>
      <c r="B40" s="5" t="s">
        <v>17</v>
      </c>
      <c r="C40" s="1">
        <v>18000</v>
      </c>
      <c r="D40" s="6" t="s">
        <v>53</v>
      </c>
    </row>
    <row r="41" spans="1:4" ht="18" thickTop="1" thickBot="1" x14ac:dyDescent="0.35">
      <c r="B41" s="7" t="s">
        <v>54</v>
      </c>
      <c r="C41" s="8">
        <f>SUM(C2:C40)</f>
        <v>1280700</v>
      </c>
    </row>
    <row r="42" spans="1:4" ht="17.25" thickTop="1" x14ac:dyDescent="0.3"/>
    <row r="43" spans="1:4" x14ac:dyDescent="0.3">
      <c r="A43" s="9" t="s">
        <v>55</v>
      </c>
      <c r="B43" s="9" t="s">
        <v>56</v>
      </c>
      <c r="C43" s="9" t="s">
        <v>57</v>
      </c>
    </row>
    <row r="44" spans="1:4" x14ac:dyDescent="0.3">
      <c r="A44" s="13" t="s">
        <v>59</v>
      </c>
      <c r="B44" s="12" t="s">
        <v>58</v>
      </c>
      <c r="C44" s="11">
        <v>10000</v>
      </c>
    </row>
    <row r="45" spans="1:4" x14ac:dyDescent="0.3">
      <c r="A45" s="13" t="s">
        <v>63</v>
      </c>
      <c r="B45" s="14" t="s">
        <v>62</v>
      </c>
      <c r="C45" s="11">
        <v>15100</v>
      </c>
    </row>
    <row r="46" spans="1:4" x14ac:dyDescent="0.3">
      <c r="A46" s="13" t="s">
        <v>61</v>
      </c>
      <c r="B46" s="12" t="s">
        <v>60</v>
      </c>
      <c r="C46" s="11">
        <v>15100</v>
      </c>
    </row>
    <row r="47" spans="1:4" x14ac:dyDescent="0.3">
      <c r="A47" s="13" t="s">
        <v>65</v>
      </c>
      <c r="B47" s="12" t="s">
        <v>64</v>
      </c>
      <c r="C47" s="11">
        <v>22000</v>
      </c>
    </row>
    <row r="48" spans="1:4" x14ac:dyDescent="0.3">
      <c r="A48" s="13" t="s">
        <v>67</v>
      </c>
      <c r="B48" s="12" t="s">
        <v>66</v>
      </c>
      <c r="C48" s="11">
        <v>15100</v>
      </c>
    </row>
    <row r="49" spans="1:9" x14ac:dyDescent="0.3">
      <c r="A49" s="13" t="s">
        <v>71</v>
      </c>
      <c r="B49" s="12" t="s">
        <v>70</v>
      </c>
      <c r="C49" s="11">
        <v>15100</v>
      </c>
    </row>
    <row r="50" spans="1:9" x14ac:dyDescent="0.3">
      <c r="A50" s="13" t="s">
        <v>69</v>
      </c>
      <c r="B50" s="12" t="s">
        <v>68</v>
      </c>
      <c r="C50" s="11">
        <v>15100</v>
      </c>
    </row>
    <row r="51" spans="1:9" x14ac:dyDescent="0.3">
      <c r="A51" s="13" t="s">
        <v>75</v>
      </c>
      <c r="B51" s="12" t="s">
        <v>74</v>
      </c>
      <c r="C51" s="11">
        <v>15100</v>
      </c>
    </row>
    <row r="52" spans="1:9" x14ac:dyDescent="0.3">
      <c r="A52" s="13" t="s">
        <v>73</v>
      </c>
      <c r="B52" s="12" t="s">
        <v>72</v>
      </c>
      <c r="C52" s="11">
        <v>14100</v>
      </c>
    </row>
    <row r="53" spans="1:9" x14ac:dyDescent="0.3">
      <c r="A53" s="13" t="s">
        <v>77</v>
      </c>
      <c r="B53" s="12" t="s">
        <v>76</v>
      </c>
      <c r="C53" s="11">
        <v>100000</v>
      </c>
    </row>
    <row r="54" spans="1:9" x14ac:dyDescent="0.3">
      <c r="A54" s="13" t="s">
        <v>81</v>
      </c>
      <c r="B54" s="12" t="s">
        <v>80</v>
      </c>
      <c r="C54" s="11">
        <v>55000</v>
      </c>
    </row>
    <row r="55" spans="1:9" ht="17.25" thickBot="1" x14ac:dyDescent="0.35">
      <c r="A55" s="13" t="s">
        <v>79</v>
      </c>
      <c r="B55" s="12" t="s">
        <v>78</v>
      </c>
      <c r="C55" s="11">
        <v>50000</v>
      </c>
    </row>
    <row r="56" spans="1:9" ht="18" thickTop="1" thickBot="1" x14ac:dyDescent="0.35">
      <c r="A56"/>
      <c r="B56" s="7" t="s">
        <v>82</v>
      </c>
      <c r="C56" s="8">
        <f>SUM(C44:C55)</f>
        <v>341700</v>
      </c>
    </row>
    <row r="57" spans="1:9" ht="18" thickTop="1" thickBot="1" x14ac:dyDescent="0.35"/>
    <row r="58" spans="1:9" ht="18" thickTop="1" thickBot="1" x14ac:dyDescent="0.35">
      <c r="A58" s="15" t="s">
        <v>83</v>
      </c>
      <c r="B58" s="16">
        <f>C56</f>
        <v>341700</v>
      </c>
      <c r="C58" s="17" t="s">
        <v>84</v>
      </c>
      <c r="D58" s="18">
        <f>B58*10%</f>
        <v>34170</v>
      </c>
      <c r="E58" s="19"/>
      <c r="F58" s="20"/>
      <c r="G58" s="21" t="s">
        <v>85</v>
      </c>
      <c r="H58" s="22">
        <f>(B58-D58)*80%</f>
        <v>246024</v>
      </c>
    </row>
    <row r="59" spans="1:9" ht="18" thickTop="1" thickBot="1" x14ac:dyDescent="0.35">
      <c r="A59" s="15" t="s">
        <v>86</v>
      </c>
      <c r="B59" s="16">
        <f>C41</f>
        <v>1280700</v>
      </c>
      <c r="C59" s="17" t="s">
        <v>87</v>
      </c>
      <c r="D59" s="18">
        <f>B59*10%</f>
        <v>128070</v>
      </c>
      <c r="E59" s="23" t="s">
        <v>84</v>
      </c>
      <c r="F59" s="24">
        <f>B59*10%</f>
        <v>128070</v>
      </c>
      <c r="G59" s="21" t="s">
        <v>85</v>
      </c>
      <c r="H59" s="22">
        <f>(B59-D59-F59)*80%</f>
        <v>819648</v>
      </c>
    </row>
    <row r="60" spans="1:9" ht="17.25" thickBot="1" x14ac:dyDescent="0.35">
      <c r="C60" s="1"/>
      <c r="E60" s="1"/>
    </row>
    <row r="61" spans="1:9" ht="18" thickTop="1" thickBot="1" x14ac:dyDescent="0.35">
      <c r="A61" s="25" t="s">
        <v>88</v>
      </c>
      <c r="B61" s="26">
        <f>H58+H59</f>
        <v>1065672</v>
      </c>
      <c r="C61" s="25" t="s">
        <v>89</v>
      </c>
      <c r="D61" s="27">
        <f>D62+D63</f>
        <v>35160</v>
      </c>
      <c r="E61" s="28" t="s">
        <v>90</v>
      </c>
      <c r="F61" s="29">
        <f>B61-D61</f>
        <v>1030512</v>
      </c>
      <c r="G61" s="30"/>
      <c r="H61" s="30"/>
      <c r="I61" s="31"/>
    </row>
    <row r="62" spans="1:9" ht="17.25" thickTop="1" x14ac:dyDescent="0.3">
      <c r="C62" s="32" t="s">
        <v>91</v>
      </c>
      <c r="D62" s="32">
        <f>ROUNDDOWN((B61*3%),-1)</f>
        <v>31970</v>
      </c>
      <c r="E62" s="1"/>
    </row>
    <row r="63" spans="1:9" x14ac:dyDescent="0.3">
      <c r="C63" s="32" t="s">
        <v>92</v>
      </c>
      <c r="D63" s="32">
        <f>ROUNDDOWN((D62*10%),-1)</f>
        <v>3190</v>
      </c>
    </row>
    <row r="64" spans="1:9" x14ac:dyDescent="0.3">
      <c r="A64"/>
      <c r="C6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DIN</dc:creator>
  <cp:lastModifiedBy>Company DIN</cp:lastModifiedBy>
  <dcterms:created xsi:type="dcterms:W3CDTF">2026-09-27T11:51:06Z</dcterms:created>
  <dcterms:modified xsi:type="dcterms:W3CDTF">2026-09-27T11:57:18Z</dcterms:modified>
</cp:coreProperties>
</file>